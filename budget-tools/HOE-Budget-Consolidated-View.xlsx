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- Instructions" sheetId="1" state="visible" r:id="rId1"/>
    <sheet name="01 - LOB Register" sheetId="2" state="visible" r:id="rId2"/>
    <sheet name="02 - Cross-LOB Summary" sheetId="3" state="visible" r:id="rId3"/>
    <sheet name="03 - By HOE" sheetId="4" state="visible" r:id="rId4"/>
    <sheet name="LOB - SME" sheetId="5" state="visible" r:id="rId5"/>
    <sheet name="LOB - Practice" sheetId="6" state="visible" r:id="rId6"/>
    <sheet name="LOB - Mid-Market" sheetId="7" state="visible" r:id="rId7"/>
    <sheet name="LOB - Enterprise" sheetId="8" state="visible" r:id="rId8"/>
    <sheet name="LOB - Emerging Platforms" sheetId="9" state="visible" r:id="rId9"/>
    <sheet name="LOB - Platform PES" sheetId="10" state="visible" r:id="rId10"/>
    <sheet name="Definitions" sheetId="11" state="visible" r:id="rId11"/>
  </sheets>
  <definedNames>
    <definedName name="_xlnm._FilterDatabase" localSheetId="2" hidden="1">'02 - Cross-LOB Summary'!$A$5:$L$11</definedName>
    <definedName name="_xlnm._FilterDatabase" localSheetId="4" hidden="1">'LOB - SME'!$A$11:$P$51</definedName>
    <definedName name="_xlnm._FilterDatabase" localSheetId="5" hidden="1">'LOB - Practice'!$A$11:$P$51</definedName>
    <definedName name="_xlnm._FilterDatabase" localSheetId="6" hidden="1">'LOB - Mid-Market'!$A$11:$P$51</definedName>
    <definedName name="_xlnm._FilterDatabase" localSheetId="7" hidden="1">'LOB - Enterprise'!$A$11:$P$51</definedName>
    <definedName name="_xlnm._FilterDatabase" localSheetId="8" hidden="1">'LOB - Emerging Platforms'!$A$11:$P$51</definedName>
    <definedName name="_xlnm._FilterDatabase" localSheetId="9" hidden="1">'LOB - Platform PES'!$A$11:$P$51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_(&quot;$&quot;* #,##0_);_(&quot;$&quot;* (#,##0);_(&quot;$&quot;* &quot;-&quot;??_);_(@_)"/>
    <numFmt numFmtId="166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b val="1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color rgb="00FFFFFF"/>
      <sz val="16"/>
    </font>
    <font>
      <b val="1"/>
      <color rgb="00595959"/>
      <sz val="9"/>
    </font>
    <font>
      <name val="Calibri"/>
      <b val="1"/>
      <color rgb="001F4E79"/>
      <sz val="12"/>
    </font>
    <font>
      <name val="Calibri"/>
      <b val="1"/>
      <color rgb="00595959"/>
      <sz val="9"/>
    </font>
    <font>
      <name val="Calibri"/>
      <b val="1"/>
      <color rgb="001F4E79"/>
      <sz val="14"/>
    </font>
    <font>
      <color rgb="00595959"/>
      <sz val="9"/>
    </font>
    <font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D6DCE4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1" fillId="0" borderId="0" pivotButton="0" quotePrefix="0" xfId="0"/>
    <xf numFmtId="0" fontId="0" fillId="6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6" fontId="0" fillId="6" borderId="1" applyAlignment="1" pivotButton="0" quotePrefix="0" xfId="0">
      <alignment horizontal="center" vertical="center" wrapText="1"/>
    </xf>
    <xf numFmtId="0" fontId="2" fillId="7" borderId="1" pivotButton="0" quotePrefix="0" xfId="0"/>
    <xf numFmtId="165" fontId="2" fillId="7" borderId="1" pivotButton="0" quotePrefix="0" xfId="0"/>
    <xf numFmtId="166" fontId="2" fillId="7" borderId="1" pivotButton="0" quotePrefix="0" xfId="0"/>
    <xf numFmtId="0" fontId="7" fillId="0" borderId="0" pivotButton="0" quotePrefix="0" xfId="0"/>
    <xf numFmtId="165" fontId="0" fillId="6" borderId="1" pivotButton="0" quotePrefix="0" xfId="0"/>
    <xf numFmtId="166" fontId="0" fillId="6" borderId="1" pivotButton="0" quotePrefix="0" xfId="0"/>
    <xf numFmtId="0" fontId="5" fillId="4" borderId="0" applyAlignment="1" pivotButton="0" quotePrefix="0" xfId="0">
      <alignment horizontal="left" vertical="center"/>
    </xf>
    <xf numFmtId="0" fontId="6" fillId="0" borderId="0" pivotButton="0" quotePrefix="0" xfId="0"/>
    <xf numFmtId="164" fontId="0" fillId="3" borderId="1" pivotButton="0" quotePrefix="0" xfId="0"/>
    <xf numFmtId="0" fontId="0" fillId="5" borderId="1" pivotButton="0" quotePrefix="0" xfId="0"/>
    <xf numFmtId="165" fontId="9" fillId="5" borderId="1" pivotButton="0" quotePrefix="0" xfId="0"/>
    <xf numFmtId="166" fontId="9" fillId="5" borderId="1" pivotButton="0" quotePrefix="0" xfId="0"/>
    <xf numFmtId="0" fontId="8" fillId="5" borderId="1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95" customWidth="1" min="2" max="2"/>
  </cols>
  <sheetData>
    <row r="1">
      <c r="A1" s="1" t="inlineStr">
        <is>
          <t>Engineering Budget Consolidated View — Multi-LOB Template</t>
        </is>
      </c>
    </row>
    <row r="3" ht="32" customHeight="1">
      <c r="A3" s="2" t="inlineStr">
        <is>
          <t>Purpose</t>
        </is>
      </c>
      <c r="B3" s="3" t="inlineStr">
        <is>
          <t>Give each Line of Business (LOB) the same consolidated budget view, plus a cross-LOB roll-up of where money is going.</t>
        </is>
      </c>
    </row>
    <row r="4" ht="18" customHeight="1">
      <c r="A4" s="2" t="inlineStr">
        <is>
          <t>Workbook layout</t>
        </is>
      </c>
      <c r="B4" s="3" t="inlineStr"/>
    </row>
    <row r="5" ht="32" customHeight="1">
      <c r="A5" s="2" t="inlineStr">
        <is>
          <t>01 - LOB Register</t>
        </is>
      </c>
      <c r="B5" s="3" t="inlineStr">
        <is>
          <t>Master list of LOBs. Add/rename LOBs here first. Keep Sheet name in sync with the actual tab name.</t>
        </is>
      </c>
    </row>
    <row r="6" ht="32" customHeight="1">
      <c r="A6" s="2" t="inlineStr">
        <is>
          <t>02 - Cross-LOB Summary</t>
        </is>
      </c>
      <c r="B6" s="3" t="inlineStr">
        <is>
          <t>One row per LOB. Totals pull automatically from each LOB sheet KPI strip. Start here for leadership view.</t>
        </is>
      </c>
    </row>
    <row r="7" ht="32" customHeight="1">
      <c r="A7" s="2" t="inlineStr">
        <is>
          <t>03 - By HOE</t>
        </is>
      </c>
      <c r="B7" s="3" t="inlineStr">
        <is>
          <t>Roll-up by Head of Engineering across all LOBs (enter HOE names; uses SUMIF across LOB sheets).</t>
        </is>
      </c>
    </row>
    <row r="8" ht="32" customHeight="1">
      <c r="A8" s="2" t="inlineStr">
        <is>
          <t>LOB - … sheets</t>
        </is>
      </c>
      <c r="B8" s="3" t="inlineStr">
        <is>
          <t>Identical structure per LOB: KPI strip + project detail with Approved / By Whom / Managed by HOE / Spent / Unallocated / Forecast.</t>
        </is>
      </c>
    </row>
    <row r="9" ht="18" customHeight="1">
      <c r="A9" s="2" t="inlineStr">
        <is>
          <t>Definitions</t>
        </is>
      </c>
      <c r="B9" s="3" t="inlineStr">
        <is>
          <t>Column meanings and formulas.</t>
        </is>
      </c>
    </row>
    <row r="10" ht="18" customHeight="1">
      <c r="A10" s="2" t="inlineStr">
        <is>
          <t>How to fill</t>
        </is>
      </c>
      <c r="B10" s="3" t="inlineStr"/>
    </row>
    <row r="11" ht="18" customHeight="1">
      <c r="A11" s="2" t="inlineStr">
        <is>
          <t>1</t>
        </is>
      </c>
      <c r="B11" s="3" t="inlineStr">
        <is>
          <t>Confirm LOBs on 01 - LOB Register (edit names / primary HOE / GM).</t>
        </is>
      </c>
    </row>
    <row r="12" ht="32" customHeight="1">
      <c r="A12" s="2" t="inlineStr">
        <is>
          <t>2</t>
        </is>
      </c>
      <c r="B12" s="3" t="inlineStr">
        <is>
          <t>Open the matching LOB - … sheet. Set Primary HOE and FY / Period in the yellow meta row.</t>
        </is>
      </c>
    </row>
    <row r="13" ht="32" customHeight="1">
      <c r="A13" s="2" t="inlineStr">
        <is>
          <t>3</t>
        </is>
      </c>
      <c r="B13" s="3" t="inlineStr">
        <is>
          <t>Enter one row per project: Approved amount, Approved By, Managed by HOE, Spent, Unallocated, Forecasted Spend.</t>
        </is>
      </c>
    </row>
    <row r="14" ht="32" customHeight="1">
      <c r="A14" s="2" t="inlineStr">
        <is>
          <t>4</t>
        </is>
      </c>
      <c r="B14" s="3" t="inlineStr">
        <is>
          <t>Check 02 - Cross-LOB Summary for the all-LOB picture; use 03 - By HOE for accountability by HOE.</t>
        </is>
      </c>
    </row>
    <row r="15" ht="32" customHeight="1">
      <c r="A15" s="2" t="inlineStr">
        <is>
          <t>5</t>
        </is>
      </c>
      <c r="B15" s="3" t="inlineStr">
        <is>
          <t>To add a new LOB: copy any LOB sheet, rename the tab, update LOB Register, and add a row on Cross-LOB Summary pointing at the new sheet KPIs.</t>
        </is>
      </c>
    </row>
    <row r="16" ht="32" customHeight="1">
      <c r="A16" s="2" t="inlineStr">
        <is>
          <t>Security</t>
        </is>
      </c>
      <c r="B16" s="3" t="inlineStr">
        <is>
          <t>Restricted financial data — share need-to-know only; do not put secrets or unnecessary PII in Notes.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26" customWidth="1" min="2" max="2"/>
    <col width="22" customWidth="1" min="3" max="3"/>
    <col width="22" customWidth="1" min="4" max="4"/>
    <col width="12" customWidth="1" min="5" max="5"/>
    <col width="12" customWidth="1" min="6" max="6"/>
    <col width="36" customWidth="1" min="7" max="7"/>
  </cols>
  <sheetData>
    <row r="1">
      <c r="A1" s="1" t="inlineStr">
        <is>
          <t>LOB Register</t>
        </is>
      </c>
    </row>
    <row r="2">
      <c r="A2" s="4" t="inlineStr">
        <is>
          <t>Maintain the list of LOBs here. Sheet name must exactly match the workbook tab used by Cross-LOB Summary formulas.</t>
        </is>
      </c>
    </row>
    <row r="4" ht="34" customHeight="1">
      <c r="A4" s="5" t="inlineStr">
        <is>
          <t>LOB name</t>
        </is>
      </c>
      <c r="B4" s="5" t="inlineStr">
        <is>
          <t>Sheet name</t>
        </is>
      </c>
      <c r="C4" s="5" t="inlineStr">
        <is>
          <t>Primary HOE</t>
        </is>
      </c>
      <c r="D4" s="5" t="inlineStr">
        <is>
          <t>GM / Sponsor</t>
        </is>
      </c>
      <c r="E4" s="5" t="inlineStr">
        <is>
          <t>Active (Y/N)</t>
        </is>
      </c>
      <c r="F4" s="5" t="inlineStr">
        <is>
          <t>Default FY</t>
        </is>
      </c>
      <c r="G4" s="5" t="inlineStr">
        <is>
          <t>Notes</t>
        </is>
      </c>
    </row>
    <row r="5">
      <c r="A5" s="6" t="inlineStr">
        <is>
          <t>SME</t>
        </is>
      </c>
      <c r="B5" s="6" t="inlineStr">
        <is>
          <t>LOB - SME</t>
        </is>
      </c>
      <c r="C5" s="6" t="inlineStr"/>
      <c r="D5" s="6" t="inlineStr"/>
      <c r="E5" s="6" t="inlineStr">
        <is>
          <t>Y</t>
        </is>
      </c>
      <c r="F5" s="6" t="inlineStr">
        <is>
          <t>FY26</t>
        </is>
      </c>
      <c r="G5" s="6" t="n"/>
    </row>
    <row r="6">
      <c r="A6" s="6" t="inlineStr">
        <is>
          <t>Practice</t>
        </is>
      </c>
      <c r="B6" s="6" t="inlineStr">
        <is>
          <t>LOB - Practice</t>
        </is>
      </c>
      <c r="C6" s="6" t="inlineStr"/>
      <c r="D6" s="6" t="inlineStr"/>
      <c r="E6" s="6" t="inlineStr">
        <is>
          <t>Y</t>
        </is>
      </c>
      <c r="F6" s="6" t="inlineStr">
        <is>
          <t>FY26</t>
        </is>
      </c>
      <c r="G6" s="6" t="n"/>
    </row>
    <row r="7">
      <c r="A7" s="6" t="inlineStr">
        <is>
          <t>Mid-Market</t>
        </is>
      </c>
      <c r="B7" s="6" t="inlineStr">
        <is>
          <t>LOB - Mid-Market</t>
        </is>
      </c>
      <c r="C7" s="6" t="inlineStr"/>
      <c r="D7" s="6" t="inlineStr"/>
      <c r="E7" s="6" t="inlineStr">
        <is>
          <t>Y</t>
        </is>
      </c>
      <c r="F7" s="6" t="inlineStr">
        <is>
          <t>FY26</t>
        </is>
      </c>
      <c r="G7" s="6" t="n"/>
    </row>
    <row r="8">
      <c r="A8" s="6" t="inlineStr">
        <is>
          <t>Enterprise</t>
        </is>
      </c>
      <c r="B8" s="6" t="inlineStr">
        <is>
          <t>LOB - Enterprise</t>
        </is>
      </c>
      <c r="C8" s="6" t="inlineStr"/>
      <c r="D8" s="6" t="inlineStr"/>
      <c r="E8" s="6" t="inlineStr">
        <is>
          <t>Y</t>
        </is>
      </c>
      <c r="F8" s="6" t="inlineStr">
        <is>
          <t>FY26</t>
        </is>
      </c>
      <c r="G8" s="6" t="n"/>
    </row>
    <row r="9">
      <c r="A9" s="6" t="inlineStr">
        <is>
          <t>Emerging Platforms</t>
        </is>
      </c>
      <c r="B9" s="6" t="inlineStr">
        <is>
          <t>LOB - Emerging Platforms</t>
        </is>
      </c>
      <c r="C9" s="6" t="inlineStr"/>
      <c r="D9" s="6" t="inlineStr"/>
      <c r="E9" s="6" t="inlineStr">
        <is>
          <t>Y</t>
        </is>
      </c>
      <c r="F9" s="6" t="inlineStr">
        <is>
          <t>FY26</t>
        </is>
      </c>
      <c r="G9" s="6" t="n"/>
    </row>
    <row r="10">
      <c r="A10" s="6" t="inlineStr">
        <is>
          <t>Platform / PES</t>
        </is>
      </c>
      <c r="B10" s="6" t="inlineStr">
        <is>
          <t>LOB - Platform PES</t>
        </is>
      </c>
      <c r="C10" s="6" t="inlineStr"/>
      <c r="D10" s="6" t="inlineStr"/>
      <c r="E10" s="6" t="inlineStr">
        <is>
          <t>Y</t>
        </is>
      </c>
      <c r="F10" s="6" t="inlineStr">
        <is>
          <t>FY26</t>
        </is>
      </c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</sheetData>
  <mergeCells count="2">
    <mergeCell ref="A2:G2"/>
    <mergeCell ref="A1:G1"/>
  </mergeCells>
  <dataValidations count="2">
    <dataValidation sqref="E5:E16" showDropDown="0" showInputMessage="0" showErrorMessage="0" allowBlank="1" type="list">
      <formula1>"Y,N"</formula1>
    </dataValidation>
    <dataValidation sqref="F5:F16" showDropDown="0" showInputMessage="0" showErrorMessage="0" allowBlank="1" type="list">
      <formula1>"FY25,FY26,FY27,FY26 H1,FY26 H2,FY26 Q1,FY26 Q2,FY26 Q3,FY26 Q4"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20" customWidth="1" min="1" max="1"/>
    <col width="26" customWidth="1" min="2" max="2"/>
    <col width="20" customWidth="1" min="3" max="3"/>
    <col width="16" customWidth="1" min="4" max="4"/>
    <col width="14" customWidth="1" min="5" max="5"/>
    <col width="12" customWidth="1" min="6" max="6"/>
    <col width="14" customWidth="1" min="7" max="7"/>
    <col width="12" customWidth="1" min="8" max="8"/>
    <col width="12" customWidth="1" min="9" max="9"/>
    <col width="10" customWidth="1" min="10" max="10"/>
    <col width="14" customWidth="1" min="11" max="11"/>
    <col width="10" customWidth="1" min="12" max="12"/>
  </cols>
  <sheetData>
    <row r="1">
      <c r="A1" s="1" t="inlineStr">
        <is>
          <t>Cross-LOB Budget Summary</t>
        </is>
      </c>
    </row>
    <row r="2">
      <c r="A2" s="4" t="inlineStr">
        <is>
          <t>Leadership roll-up. Each row is one LOB; values link to that LOB sheet's KPI strip. Do not overwrite green cells.</t>
        </is>
      </c>
    </row>
    <row r="3">
      <c r="A3" s="7" t="inlineStr">
        <is>
          <t>Currency: AUD  |  Classification: Restricted (financial)  |  Template 2026-10-06</t>
        </is>
      </c>
    </row>
    <row r="5" ht="34" customHeight="1">
      <c r="A5" s="5" t="inlineStr">
        <is>
          <t>LOB</t>
        </is>
      </c>
      <c r="B5" s="5" t="inlineStr">
        <is>
          <t>Sheet</t>
        </is>
      </c>
      <c r="C5" s="5" t="inlineStr">
        <is>
          <t>Primary HOE</t>
        </is>
      </c>
      <c r="D5" s="5" t="inlineStr">
        <is>
          <t>Total Budget Approved</t>
        </is>
      </c>
      <c r="E5" s="5" t="inlineStr">
        <is>
          <t>Spent (Actual)</t>
        </is>
      </c>
      <c r="F5" s="5" t="inlineStr">
        <is>
          <t>Unallocated</t>
        </is>
      </c>
      <c r="G5" s="5" t="inlineStr">
        <is>
          <t>Forecasted Spend</t>
        </is>
      </c>
      <c r="H5" s="5" t="inlineStr">
        <is>
          <t>Allocated</t>
        </is>
      </c>
      <c r="I5" s="5" t="inlineStr">
        <is>
          <t>Remaining</t>
        </is>
      </c>
      <c r="J5" s="5" t="inlineStr">
        <is>
          <t>% Spent</t>
        </is>
      </c>
      <c r="K5" s="5" t="inlineStr">
        <is>
          <t>Forecast vs Approved</t>
        </is>
      </c>
      <c r="L5" s="5" t="inlineStr">
        <is>
          <t>Active</t>
        </is>
      </c>
    </row>
    <row r="6">
      <c r="A6" s="8">
        <f>'01 - LOB Register'!A5</f>
        <v/>
      </c>
      <c r="B6" s="9">
        <f>'01 - LOB Register'!B5</f>
        <v/>
      </c>
      <c r="C6" s="9">
        <f>'01 - LOB Register'!C5</f>
        <v/>
      </c>
      <c r="D6" s="10">
        <f>'LOB - SME'!B7</f>
        <v/>
      </c>
      <c r="E6" s="10">
        <f>'LOB - SME'!D7</f>
        <v/>
      </c>
      <c r="F6" s="10">
        <f>'LOB - SME'!F7</f>
        <v/>
      </c>
      <c r="G6" s="10">
        <f>'LOB - SME'!H7</f>
        <v/>
      </c>
      <c r="H6" s="10">
        <f>IF(OR(D6="",F6=""),"",D6-F6)</f>
        <v/>
      </c>
      <c r="I6" s="10">
        <f>'LOB - SME'!J7</f>
        <v/>
      </c>
      <c r="J6" s="11">
        <f>'LOB - SME'!L7</f>
        <v/>
      </c>
      <c r="K6" s="10">
        <f>'LOB - SME'!N7</f>
        <v/>
      </c>
      <c r="L6" s="9">
        <f>'01 - LOB Register'!E5</f>
        <v/>
      </c>
    </row>
    <row r="7">
      <c r="A7" s="8">
        <f>'01 - LOB Register'!A6</f>
        <v/>
      </c>
      <c r="B7" s="9">
        <f>'01 - LOB Register'!B6</f>
        <v/>
      </c>
      <c r="C7" s="9">
        <f>'01 - LOB Register'!C6</f>
        <v/>
      </c>
      <c r="D7" s="10">
        <f>'LOB - Practice'!B7</f>
        <v/>
      </c>
      <c r="E7" s="10">
        <f>'LOB - Practice'!D7</f>
        <v/>
      </c>
      <c r="F7" s="10">
        <f>'LOB - Practice'!F7</f>
        <v/>
      </c>
      <c r="G7" s="10">
        <f>'LOB - Practice'!H7</f>
        <v/>
      </c>
      <c r="H7" s="10">
        <f>IF(OR(D7="",F7=""),"",D7-F7)</f>
        <v/>
      </c>
      <c r="I7" s="10">
        <f>'LOB - Practice'!J7</f>
        <v/>
      </c>
      <c r="J7" s="11">
        <f>'LOB - Practice'!L7</f>
        <v/>
      </c>
      <c r="K7" s="10">
        <f>'LOB - Practice'!N7</f>
        <v/>
      </c>
      <c r="L7" s="9">
        <f>'01 - LOB Register'!E6</f>
        <v/>
      </c>
    </row>
    <row r="8">
      <c r="A8" s="8">
        <f>'01 - LOB Register'!A7</f>
        <v/>
      </c>
      <c r="B8" s="9">
        <f>'01 - LOB Register'!B7</f>
        <v/>
      </c>
      <c r="C8" s="9">
        <f>'01 - LOB Register'!C7</f>
        <v/>
      </c>
      <c r="D8" s="10">
        <f>'LOB - Mid-Market'!B7</f>
        <v/>
      </c>
      <c r="E8" s="10">
        <f>'LOB - Mid-Market'!D7</f>
        <v/>
      </c>
      <c r="F8" s="10">
        <f>'LOB - Mid-Market'!F7</f>
        <v/>
      </c>
      <c r="G8" s="10">
        <f>'LOB - Mid-Market'!H7</f>
        <v/>
      </c>
      <c r="H8" s="10">
        <f>IF(OR(D8="",F8=""),"",D8-F8)</f>
        <v/>
      </c>
      <c r="I8" s="10">
        <f>'LOB - Mid-Market'!J7</f>
        <v/>
      </c>
      <c r="J8" s="11">
        <f>'LOB - Mid-Market'!L7</f>
        <v/>
      </c>
      <c r="K8" s="10">
        <f>'LOB - Mid-Market'!N7</f>
        <v/>
      </c>
      <c r="L8" s="9">
        <f>'01 - LOB Register'!E7</f>
        <v/>
      </c>
    </row>
    <row r="9">
      <c r="A9" s="8">
        <f>'01 - LOB Register'!A8</f>
        <v/>
      </c>
      <c r="B9" s="9">
        <f>'01 - LOB Register'!B8</f>
        <v/>
      </c>
      <c r="C9" s="9">
        <f>'01 - LOB Register'!C8</f>
        <v/>
      </c>
      <c r="D9" s="10">
        <f>'LOB - Enterprise'!B7</f>
        <v/>
      </c>
      <c r="E9" s="10">
        <f>'LOB - Enterprise'!D7</f>
        <v/>
      </c>
      <c r="F9" s="10">
        <f>'LOB - Enterprise'!F7</f>
        <v/>
      </c>
      <c r="G9" s="10">
        <f>'LOB - Enterprise'!H7</f>
        <v/>
      </c>
      <c r="H9" s="10">
        <f>IF(OR(D9="",F9=""),"",D9-F9)</f>
        <v/>
      </c>
      <c r="I9" s="10">
        <f>'LOB - Enterprise'!J7</f>
        <v/>
      </c>
      <c r="J9" s="11">
        <f>'LOB - Enterprise'!L7</f>
        <v/>
      </c>
      <c r="K9" s="10">
        <f>'LOB - Enterprise'!N7</f>
        <v/>
      </c>
      <c r="L9" s="9">
        <f>'01 - LOB Register'!E8</f>
        <v/>
      </c>
    </row>
    <row r="10">
      <c r="A10" s="8">
        <f>'01 - LOB Register'!A9</f>
        <v/>
      </c>
      <c r="B10" s="9">
        <f>'01 - LOB Register'!B9</f>
        <v/>
      </c>
      <c r="C10" s="9">
        <f>'01 - LOB Register'!C9</f>
        <v/>
      </c>
      <c r="D10" s="10">
        <f>'LOB - Emerging Platforms'!B7</f>
        <v/>
      </c>
      <c r="E10" s="10">
        <f>'LOB - Emerging Platforms'!D7</f>
        <v/>
      </c>
      <c r="F10" s="10">
        <f>'LOB - Emerging Platforms'!F7</f>
        <v/>
      </c>
      <c r="G10" s="10">
        <f>'LOB - Emerging Platforms'!H7</f>
        <v/>
      </c>
      <c r="H10" s="10">
        <f>IF(OR(D10="",F10=""),"",D10-F10)</f>
        <v/>
      </c>
      <c r="I10" s="10">
        <f>'LOB - Emerging Platforms'!J7</f>
        <v/>
      </c>
      <c r="J10" s="11">
        <f>'LOB - Emerging Platforms'!L7</f>
        <v/>
      </c>
      <c r="K10" s="10">
        <f>'LOB - Emerging Platforms'!N7</f>
        <v/>
      </c>
      <c r="L10" s="9">
        <f>'01 - LOB Register'!E9</f>
        <v/>
      </c>
    </row>
    <row r="11">
      <c r="A11" s="8">
        <f>'01 - LOB Register'!A10</f>
        <v/>
      </c>
      <c r="B11" s="9">
        <f>'01 - LOB Register'!B10</f>
        <v/>
      </c>
      <c r="C11" s="9">
        <f>'01 - LOB Register'!C10</f>
        <v/>
      </c>
      <c r="D11" s="10">
        <f>'LOB - Platform PES'!B7</f>
        <v/>
      </c>
      <c r="E11" s="10">
        <f>'LOB - Platform PES'!D7</f>
        <v/>
      </c>
      <c r="F11" s="10">
        <f>'LOB - Platform PES'!F7</f>
        <v/>
      </c>
      <c r="G11" s="10">
        <f>'LOB - Platform PES'!H7</f>
        <v/>
      </c>
      <c r="H11" s="10">
        <f>IF(OR(D11="",F11=""),"",D11-F11)</f>
        <v/>
      </c>
      <c r="I11" s="10">
        <f>'LOB - Platform PES'!J7</f>
        <v/>
      </c>
      <c r="J11" s="11">
        <f>'LOB - Platform PES'!L7</f>
        <v/>
      </c>
      <c r="K11" s="10">
        <f>'LOB - Platform PES'!N7</f>
        <v/>
      </c>
      <c r="L11" s="9">
        <f>'01 - LOB Register'!E10</f>
        <v/>
      </c>
    </row>
    <row r="12">
      <c r="A12" s="12" t="inlineStr">
        <is>
          <t>ALL LOBs TOTAL</t>
        </is>
      </c>
      <c r="B12" s="12" t="n"/>
      <c r="C12" s="12" t="n"/>
      <c r="D12" s="13">
        <f>SUMIF(L6:L11,"Y",D6:D11)</f>
        <v/>
      </c>
      <c r="E12" s="13">
        <f>SUMIF(L6:L11,"Y",E6:E11)</f>
        <v/>
      </c>
      <c r="F12" s="13">
        <f>SUMIF(L6:L11,"Y",F6:F11)</f>
        <v/>
      </c>
      <c r="G12" s="13">
        <f>SUMIF(L6:L11,"Y",G6:G11)</f>
        <v/>
      </c>
      <c r="H12" s="13">
        <f>SUMIF(L6:L11,"Y",H6:H11)</f>
        <v/>
      </c>
      <c r="I12" s="13">
        <f>SUMIF(L6:L11,"Y",I6:I11)</f>
        <v/>
      </c>
      <c r="J12" s="14">
        <f>IF(OR(D12="",D12=0),"",E12/D12)</f>
        <v/>
      </c>
      <c r="K12" s="13">
        <f>SUMIF(L6:L11,"Y",K6:K11)</f>
        <v/>
      </c>
      <c r="L12" s="12" t="n"/>
    </row>
    <row r="14">
      <c r="A14" s="15" t="inlineStr">
        <is>
          <t>What this answers</t>
        </is>
      </c>
    </row>
    <row r="15">
      <c r="A15" s="2" t="inlineStr">
        <is>
          <t>Total budget approved</t>
        </is>
      </c>
      <c r="B15" t="inlineStr">
        <is>
          <t>Column D (per LOB) and ALL LOBs TOTAL</t>
        </is>
      </c>
    </row>
    <row r="16">
      <c r="A16" s="2" t="inlineStr">
        <is>
          <t>Approved by who</t>
        </is>
      </c>
      <c r="B16" t="inlineStr">
        <is>
          <t>On each LOB sheet — column Approved By (per project)</t>
        </is>
      </c>
    </row>
    <row r="17">
      <c r="A17" s="2" t="inlineStr">
        <is>
          <t>Managed by which HOE</t>
        </is>
      </c>
      <c r="B17" t="inlineStr">
        <is>
          <t>LOB sheet column Managed by (HOE); also 03 - By HOE</t>
        </is>
      </c>
    </row>
    <row r="18">
      <c r="A18" s="2" t="inlineStr">
        <is>
          <t>How much of approved is spent</t>
        </is>
      </c>
      <c r="B18" t="inlineStr">
        <is>
          <t>Spent + % Spent (columns E / J)</t>
        </is>
      </c>
    </row>
    <row r="19">
      <c r="A19" s="2" t="inlineStr">
        <is>
          <t>Unallocated</t>
        </is>
      </c>
      <c r="B19" t="inlineStr">
        <is>
          <t>Column F</t>
        </is>
      </c>
    </row>
    <row r="20">
      <c r="A20" s="2" t="inlineStr">
        <is>
          <t>Forecasted spend</t>
        </is>
      </c>
      <c r="B20" t="inlineStr">
        <is>
          <t>Column G (+ Forecast vs Approved in K)</t>
        </is>
      </c>
    </row>
  </sheetData>
  <autoFilter ref="A5:L11"/>
  <mergeCells count="8">
    <mergeCell ref="A2:L2"/>
    <mergeCell ref="B16:L16"/>
    <mergeCell ref="B15:L15"/>
    <mergeCell ref="A1:L1"/>
    <mergeCell ref="B19:L19"/>
    <mergeCell ref="B20:L20"/>
    <mergeCell ref="B17:L17"/>
    <mergeCell ref="B18:L18"/>
  </mergeCells>
  <conditionalFormatting sqref="J6:J11">
    <cfRule type="cellIs" priority="1" operator="greaterThan" dxfId="0">
      <formula>0.9</formula>
    </cfRule>
  </conditionalFormatting>
  <conditionalFormatting sqref="K6:K11"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14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0" customWidth="1" min="8" max="8"/>
    <col width="14" customWidth="1" min="9" max="9"/>
    <col width="28" customWidth="1" min="10" max="10"/>
  </cols>
  <sheetData>
    <row r="1">
      <c r="A1" s="1" t="inlineStr">
        <is>
          <t>Budget by Head of Engineering (across LOBs)</t>
        </is>
      </c>
    </row>
    <row r="2">
      <c r="A2" s="4" t="inlineStr">
        <is>
          <t>Enter each HOE name in column A (must match Managed by (HOE) on LOB sheets). Totals SUMIF across all LOB detail rows.</t>
        </is>
      </c>
    </row>
    <row r="4" ht="34" customHeight="1">
      <c r="A4" s="5" t="inlineStr">
        <is>
          <t>HOE name</t>
        </is>
      </c>
      <c r="B4" s="5" t="inlineStr">
        <is>
          <t>Total Approved</t>
        </is>
      </c>
      <c r="C4" s="5" t="inlineStr">
        <is>
          <t>Spent</t>
        </is>
      </c>
      <c r="D4" s="5" t="inlineStr">
        <is>
          <t>Unallocated</t>
        </is>
      </c>
      <c r="E4" s="5" t="inlineStr">
        <is>
          <t>Forecasted Spend</t>
        </is>
      </c>
      <c r="F4" s="5" t="inlineStr">
        <is>
          <t>Allocated</t>
        </is>
      </c>
      <c r="G4" s="5" t="inlineStr">
        <is>
          <t>Remaining</t>
        </is>
      </c>
      <c r="H4" s="5" t="inlineStr">
        <is>
          <t>% Spent</t>
        </is>
      </c>
      <c r="I4" s="5" t="inlineStr">
        <is>
          <t>Forecast vs Approved</t>
        </is>
      </c>
      <c r="J4" s="5" t="inlineStr">
        <is>
          <t>Notes</t>
        </is>
      </c>
    </row>
    <row r="5">
      <c r="A5" s="6" t="n"/>
      <c r="B5" s="16">
        <f>SUMIF('LOB - SME'!D12:D51,$A5,'LOB - SME'!E12:E51)+SUMIF('LOB - Practice'!D12:D51,$A5,'LOB - Practice'!E12:E51)+SUMIF('LOB - Mid-Market'!D12:D51,$A5,'LOB - Mid-Market'!E12:E51)+SUMIF('LOB - Enterprise'!D12:D51,$A5,'LOB - Enterprise'!E12:E51)+SUMIF('LOB - Emerging Platforms'!D12:D51,$A5,'LOB - Emerging Platforms'!E12:E51)+SUMIF('LOB - Platform PES'!D12:D51,$A5,'LOB - Platform PES'!E12:E51)</f>
        <v/>
      </c>
      <c r="C5" s="16">
        <f>SUMIF('LOB - SME'!D12:D51,$A5,'LOB - SME'!H12:H51)+SUMIF('LOB - Practice'!D12:D51,$A5,'LOB - Practice'!H12:H51)+SUMIF('LOB - Mid-Market'!D12:D51,$A5,'LOB - Mid-Market'!H12:H51)+SUMIF('LOB - Enterprise'!D12:D51,$A5,'LOB - Enterprise'!H12:H51)+SUMIF('LOB - Emerging Platforms'!D12:D51,$A5,'LOB - Emerging Platforms'!H12:H51)+SUMIF('LOB - Platform PES'!D12:D51,$A5,'LOB - Platform PES'!H12:H51)</f>
        <v/>
      </c>
      <c r="D5" s="16">
        <f>SUMIF('LOB - SME'!D12:D51,$A5,'LOB - SME'!I12:I51)+SUMIF('LOB - Practice'!D12:D51,$A5,'LOB - Practice'!I12:I51)+SUMIF('LOB - Mid-Market'!D12:D51,$A5,'LOB - Mid-Market'!I12:I51)+SUMIF('LOB - Enterprise'!D12:D51,$A5,'LOB - Enterprise'!I12:I51)+SUMIF('LOB - Emerging Platforms'!D12:D51,$A5,'LOB - Emerging Platforms'!I12:I51)+SUMIF('LOB - Platform PES'!D12:D51,$A5,'LOB - Platform PES'!I12:I51)</f>
        <v/>
      </c>
      <c r="E5" s="16">
        <f>SUMIF('LOB - SME'!D12:D51,$A5,'LOB - SME'!J12:J51)+SUMIF('LOB - Practice'!D12:D51,$A5,'LOB - Practice'!J12:J51)+SUMIF('LOB - Mid-Market'!D12:D51,$A5,'LOB - Mid-Market'!J12:J51)+SUMIF('LOB - Enterprise'!D12:D51,$A5,'LOB - Enterprise'!J12:J51)+SUMIF('LOB - Emerging Platforms'!D12:D51,$A5,'LOB - Emerging Platforms'!J12:J51)+SUMIF('LOB - Platform PES'!D12:D51,$A5,'LOB - Platform PES'!J12:J51)</f>
        <v/>
      </c>
      <c r="F5" s="16">
        <f>IF(A5="","",B5-D5)</f>
        <v/>
      </c>
      <c r="G5" s="16">
        <f>IF(A5="","",B5-C5)</f>
        <v/>
      </c>
      <c r="H5" s="17">
        <f>IF(OR(A5="",B5=0),"",C5/B5)</f>
        <v/>
      </c>
      <c r="I5" s="16">
        <f>IF(A5="","",E5-B5)</f>
        <v/>
      </c>
      <c r="J5" s="6" t="n"/>
    </row>
    <row r="6">
      <c r="A6" s="6" t="n"/>
      <c r="B6" s="16">
        <f>SUMIF('LOB - SME'!D12:D51,$A6,'LOB - SME'!E12:E51)+SUMIF('LOB - Practice'!D12:D51,$A6,'LOB - Practice'!E12:E51)+SUMIF('LOB - Mid-Market'!D12:D51,$A6,'LOB - Mid-Market'!E12:E51)+SUMIF('LOB - Enterprise'!D12:D51,$A6,'LOB - Enterprise'!E12:E51)+SUMIF('LOB - Emerging Platforms'!D12:D51,$A6,'LOB - Emerging Platforms'!E12:E51)+SUMIF('LOB - Platform PES'!D12:D51,$A6,'LOB - Platform PES'!E12:E51)</f>
        <v/>
      </c>
      <c r="C6" s="16">
        <f>SUMIF('LOB - SME'!D12:D51,$A6,'LOB - SME'!H12:H51)+SUMIF('LOB - Practice'!D12:D51,$A6,'LOB - Practice'!H12:H51)+SUMIF('LOB - Mid-Market'!D12:D51,$A6,'LOB - Mid-Market'!H12:H51)+SUMIF('LOB - Enterprise'!D12:D51,$A6,'LOB - Enterprise'!H12:H51)+SUMIF('LOB - Emerging Platforms'!D12:D51,$A6,'LOB - Emerging Platforms'!H12:H51)+SUMIF('LOB - Platform PES'!D12:D51,$A6,'LOB - Platform PES'!H12:H51)</f>
        <v/>
      </c>
      <c r="D6" s="16">
        <f>SUMIF('LOB - SME'!D12:D51,$A6,'LOB - SME'!I12:I51)+SUMIF('LOB - Practice'!D12:D51,$A6,'LOB - Practice'!I12:I51)+SUMIF('LOB - Mid-Market'!D12:D51,$A6,'LOB - Mid-Market'!I12:I51)+SUMIF('LOB - Enterprise'!D12:D51,$A6,'LOB - Enterprise'!I12:I51)+SUMIF('LOB - Emerging Platforms'!D12:D51,$A6,'LOB - Emerging Platforms'!I12:I51)+SUMIF('LOB - Platform PES'!D12:D51,$A6,'LOB - Platform PES'!I12:I51)</f>
        <v/>
      </c>
      <c r="E6" s="16">
        <f>SUMIF('LOB - SME'!D12:D51,$A6,'LOB - SME'!J12:J51)+SUMIF('LOB - Practice'!D12:D51,$A6,'LOB - Practice'!J12:J51)+SUMIF('LOB - Mid-Market'!D12:D51,$A6,'LOB - Mid-Market'!J12:J51)+SUMIF('LOB - Enterprise'!D12:D51,$A6,'LOB - Enterprise'!J12:J51)+SUMIF('LOB - Emerging Platforms'!D12:D51,$A6,'LOB - Emerging Platforms'!J12:J51)+SUMIF('LOB - Platform PES'!D12:D51,$A6,'LOB - Platform PES'!J12:J51)</f>
        <v/>
      </c>
      <c r="F6" s="16">
        <f>IF(A6="","",B6-D6)</f>
        <v/>
      </c>
      <c r="G6" s="16">
        <f>IF(A6="","",B6-C6)</f>
        <v/>
      </c>
      <c r="H6" s="17">
        <f>IF(OR(A6="",B6=0),"",C6/B6)</f>
        <v/>
      </c>
      <c r="I6" s="16">
        <f>IF(A6="","",E6-B6)</f>
        <v/>
      </c>
      <c r="J6" s="6" t="n"/>
    </row>
    <row r="7">
      <c r="A7" s="6" t="n"/>
      <c r="B7" s="16">
        <f>SUMIF('LOB - SME'!D12:D51,$A7,'LOB - SME'!E12:E51)+SUMIF('LOB - Practice'!D12:D51,$A7,'LOB - Practice'!E12:E51)+SUMIF('LOB - Mid-Market'!D12:D51,$A7,'LOB - Mid-Market'!E12:E51)+SUMIF('LOB - Enterprise'!D12:D51,$A7,'LOB - Enterprise'!E12:E51)+SUMIF('LOB - Emerging Platforms'!D12:D51,$A7,'LOB - Emerging Platforms'!E12:E51)+SUMIF('LOB - Platform PES'!D12:D51,$A7,'LOB - Platform PES'!E12:E51)</f>
        <v/>
      </c>
      <c r="C7" s="16">
        <f>SUMIF('LOB - SME'!D12:D51,$A7,'LOB - SME'!H12:H51)+SUMIF('LOB - Practice'!D12:D51,$A7,'LOB - Practice'!H12:H51)+SUMIF('LOB - Mid-Market'!D12:D51,$A7,'LOB - Mid-Market'!H12:H51)+SUMIF('LOB - Enterprise'!D12:D51,$A7,'LOB - Enterprise'!H12:H51)+SUMIF('LOB - Emerging Platforms'!D12:D51,$A7,'LOB - Emerging Platforms'!H12:H51)+SUMIF('LOB - Platform PES'!D12:D51,$A7,'LOB - Platform PES'!H12:H51)</f>
        <v/>
      </c>
      <c r="D7" s="16">
        <f>SUMIF('LOB - SME'!D12:D51,$A7,'LOB - SME'!I12:I51)+SUMIF('LOB - Practice'!D12:D51,$A7,'LOB - Practice'!I12:I51)+SUMIF('LOB - Mid-Market'!D12:D51,$A7,'LOB - Mid-Market'!I12:I51)+SUMIF('LOB - Enterprise'!D12:D51,$A7,'LOB - Enterprise'!I12:I51)+SUMIF('LOB - Emerging Platforms'!D12:D51,$A7,'LOB - Emerging Platforms'!I12:I51)+SUMIF('LOB - Platform PES'!D12:D51,$A7,'LOB - Platform PES'!I12:I51)</f>
        <v/>
      </c>
      <c r="E7" s="16">
        <f>SUMIF('LOB - SME'!D12:D51,$A7,'LOB - SME'!J12:J51)+SUMIF('LOB - Practice'!D12:D51,$A7,'LOB - Practice'!J12:J51)+SUMIF('LOB - Mid-Market'!D12:D51,$A7,'LOB - Mid-Market'!J12:J51)+SUMIF('LOB - Enterprise'!D12:D51,$A7,'LOB - Enterprise'!J12:J51)+SUMIF('LOB - Emerging Platforms'!D12:D51,$A7,'LOB - Emerging Platforms'!J12:J51)+SUMIF('LOB - Platform PES'!D12:D51,$A7,'LOB - Platform PES'!J12:J51)</f>
        <v/>
      </c>
      <c r="F7" s="16">
        <f>IF(A7="","",B7-D7)</f>
        <v/>
      </c>
      <c r="G7" s="16">
        <f>IF(A7="","",B7-C7)</f>
        <v/>
      </c>
      <c r="H7" s="17">
        <f>IF(OR(A7="",B7=0),"",C7/B7)</f>
        <v/>
      </c>
      <c r="I7" s="16">
        <f>IF(A7="","",E7-B7)</f>
        <v/>
      </c>
      <c r="J7" s="6" t="n"/>
    </row>
    <row r="8">
      <c r="A8" s="6" t="n"/>
      <c r="B8" s="16">
        <f>SUMIF('LOB - SME'!D12:D51,$A8,'LOB - SME'!E12:E51)+SUMIF('LOB - Practice'!D12:D51,$A8,'LOB - Practice'!E12:E51)+SUMIF('LOB - Mid-Market'!D12:D51,$A8,'LOB - Mid-Market'!E12:E51)+SUMIF('LOB - Enterprise'!D12:D51,$A8,'LOB - Enterprise'!E12:E51)+SUMIF('LOB - Emerging Platforms'!D12:D51,$A8,'LOB - Emerging Platforms'!E12:E51)+SUMIF('LOB - Platform PES'!D12:D51,$A8,'LOB - Platform PES'!E12:E51)</f>
        <v/>
      </c>
      <c r="C8" s="16">
        <f>SUMIF('LOB - SME'!D12:D51,$A8,'LOB - SME'!H12:H51)+SUMIF('LOB - Practice'!D12:D51,$A8,'LOB - Practice'!H12:H51)+SUMIF('LOB - Mid-Market'!D12:D51,$A8,'LOB - Mid-Market'!H12:H51)+SUMIF('LOB - Enterprise'!D12:D51,$A8,'LOB - Enterprise'!H12:H51)+SUMIF('LOB - Emerging Platforms'!D12:D51,$A8,'LOB - Emerging Platforms'!H12:H51)+SUMIF('LOB - Platform PES'!D12:D51,$A8,'LOB - Platform PES'!H12:H51)</f>
        <v/>
      </c>
      <c r="D8" s="16">
        <f>SUMIF('LOB - SME'!D12:D51,$A8,'LOB - SME'!I12:I51)+SUMIF('LOB - Practice'!D12:D51,$A8,'LOB - Practice'!I12:I51)+SUMIF('LOB - Mid-Market'!D12:D51,$A8,'LOB - Mid-Market'!I12:I51)+SUMIF('LOB - Enterprise'!D12:D51,$A8,'LOB - Enterprise'!I12:I51)+SUMIF('LOB - Emerging Platforms'!D12:D51,$A8,'LOB - Emerging Platforms'!I12:I51)+SUMIF('LOB - Platform PES'!D12:D51,$A8,'LOB - Platform PES'!I12:I51)</f>
        <v/>
      </c>
      <c r="E8" s="16">
        <f>SUMIF('LOB - SME'!D12:D51,$A8,'LOB - SME'!J12:J51)+SUMIF('LOB - Practice'!D12:D51,$A8,'LOB - Practice'!J12:J51)+SUMIF('LOB - Mid-Market'!D12:D51,$A8,'LOB - Mid-Market'!J12:J51)+SUMIF('LOB - Enterprise'!D12:D51,$A8,'LOB - Enterprise'!J12:J51)+SUMIF('LOB - Emerging Platforms'!D12:D51,$A8,'LOB - Emerging Platforms'!J12:J51)+SUMIF('LOB - Platform PES'!D12:D51,$A8,'LOB - Platform PES'!J12:J51)</f>
        <v/>
      </c>
      <c r="F8" s="16">
        <f>IF(A8="","",B8-D8)</f>
        <v/>
      </c>
      <c r="G8" s="16">
        <f>IF(A8="","",B8-C8)</f>
        <v/>
      </c>
      <c r="H8" s="17">
        <f>IF(OR(A8="",B8=0),"",C8/B8)</f>
        <v/>
      </c>
      <c r="I8" s="16">
        <f>IF(A8="","",E8-B8)</f>
        <v/>
      </c>
      <c r="J8" s="6" t="n"/>
    </row>
    <row r="9">
      <c r="A9" s="6" t="n"/>
      <c r="B9" s="16">
        <f>SUMIF('LOB - SME'!D12:D51,$A9,'LOB - SME'!E12:E51)+SUMIF('LOB - Practice'!D12:D51,$A9,'LOB - Practice'!E12:E51)+SUMIF('LOB - Mid-Market'!D12:D51,$A9,'LOB - Mid-Market'!E12:E51)+SUMIF('LOB - Enterprise'!D12:D51,$A9,'LOB - Enterprise'!E12:E51)+SUMIF('LOB - Emerging Platforms'!D12:D51,$A9,'LOB - Emerging Platforms'!E12:E51)+SUMIF('LOB - Platform PES'!D12:D51,$A9,'LOB - Platform PES'!E12:E51)</f>
        <v/>
      </c>
      <c r="C9" s="16">
        <f>SUMIF('LOB - SME'!D12:D51,$A9,'LOB - SME'!H12:H51)+SUMIF('LOB - Practice'!D12:D51,$A9,'LOB - Practice'!H12:H51)+SUMIF('LOB - Mid-Market'!D12:D51,$A9,'LOB - Mid-Market'!H12:H51)+SUMIF('LOB - Enterprise'!D12:D51,$A9,'LOB - Enterprise'!H12:H51)+SUMIF('LOB - Emerging Platforms'!D12:D51,$A9,'LOB - Emerging Platforms'!H12:H51)+SUMIF('LOB - Platform PES'!D12:D51,$A9,'LOB - Platform PES'!H12:H51)</f>
        <v/>
      </c>
      <c r="D9" s="16">
        <f>SUMIF('LOB - SME'!D12:D51,$A9,'LOB - SME'!I12:I51)+SUMIF('LOB - Practice'!D12:D51,$A9,'LOB - Practice'!I12:I51)+SUMIF('LOB - Mid-Market'!D12:D51,$A9,'LOB - Mid-Market'!I12:I51)+SUMIF('LOB - Enterprise'!D12:D51,$A9,'LOB - Enterprise'!I12:I51)+SUMIF('LOB - Emerging Platforms'!D12:D51,$A9,'LOB - Emerging Platforms'!I12:I51)+SUMIF('LOB - Platform PES'!D12:D51,$A9,'LOB - Platform PES'!I12:I51)</f>
        <v/>
      </c>
      <c r="E9" s="16">
        <f>SUMIF('LOB - SME'!D12:D51,$A9,'LOB - SME'!J12:J51)+SUMIF('LOB - Practice'!D12:D51,$A9,'LOB - Practice'!J12:J51)+SUMIF('LOB - Mid-Market'!D12:D51,$A9,'LOB - Mid-Market'!J12:J51)+SUMIF('LOB - Enterprise'!D12:D51,$A9,'LOB - Enterprise'!J12:J51)+SUMIF('LOB - Emerging Platforms'!D12:D51,$A9,'LOB - Emerging Platforms'!J12:J51)+SUMIF('LOB - Platform PES'!D12:D51,$A9,'LOB - Platform PES'!J12:J51)</f>
        <v/>
      </c>
      <c r="F9" s="16">
        <f>IF(A9="","",B9-D9)</f>
        <v/>
      </c>
      <c r="G9" s="16">
        <f>IF(A9="","",B9-C9)</f>
        <v/>
      </c>
      <c r="H9" s="17">
        <f>IF(OR(A9="",B9=0),"",C9/B9)</f>
        <v/>
      </c>
      <c r="I9" s="16">
        <f>IF(A9="","",E9-B9)</f>
        <v/>
      </c>
      <c r="J9" s="6" t="n"/>
    </row>
    <row r="10">
      <c r="A10" s="6" t="n"/>
      <c r="B10" s="16">
        <f>SUMIF('LOB - SME'!D12:D51,$A10,'LOB - SME'!E12:E51)+SUMIF('LOB - Practice'!D12:D51,$A10,'LOB - Practice'!E12:E51)+SUMIF('LOB - Mid-Market'!D12:D51,$A10,'LOB - Mid-Market'!E12:E51)+SUMIF('LOB - Enterprise'!D12:D51,$A10,'LOB - Enterprise'!E12:E51)+SUMIF('LOB - Emerging Platforms'!D12:D51,$A10,'LOB - Emerging Platforms'!E12:E51)+SUMIF('LOB - Platform PES'!D12:D51,$A10,'LOB - Platform PES'!E12:E51)</f>
        <v/>
      </c>
      <c r="C10" s="16">
        <f>SUMIF('LOB - SME'!D12:D51,$A10,'LOB - SME'!H12:H51)+SUMIF('LOB - Practice'!D12:D51,$A10,'LOB - Practice'!H12:H51)+SUMIF('LOB - Mid-Market'!D12:D51,$A10,'LOB - Mid-Market'!H12:H51)+SUMIF('LOB - Enterprise'!D12:D51,$A10,'LOB - Enterprise'!H12:H51)+SUMIF('LOB - Emerging Platforms'!D12:D51,$A10,'LOB - Emerging Platforms'!H12:H51)+SUMIF('LOB - Platform PES'!D12:D51,$A10,'LOB - Platform PES'!H12:H51)</f>
        <v/>
      </c>
      <c r="D10" s="16">
        <f>SUMIF('LOB - SME'!D12:D51,$A10,'LOB - SME'!I12:I51)+SUMIF('LOB - Practice'!D12:D51,$A10,'LOB - Practice'!I12:I51)+SUMIF('LOB - Mid-Market'!D12:D51,$A10,'LOB - Mid-Market'!I12:I51)+SUMIF('LOB - Enterprise'!D12:D51,$A10,'LOB - Enterprise'!I12:I51)+SUMIF('LOB - Emerging Platforms'!D12:D51,$A10,'LOB - Emerging Platforms'!I12:I51)+SUMIF('LOB - Platform PES'!D12:D51,$A10,'LOB - Platform PES'!I12:I51)</f>
        <v/>
      </c>
      <c r="E10" s="16">
        <f>SUMIF('LOB - SME'!D12:D51,$A10,'LOB - SME'!J12:J51)+SUMIF('LOB - Practice'!D12:D51,$A10,'LOB - Practice'!J12:J51)+SUMIF('LOB - Mid-Market'!D12:D51,$A10,'LOB - Mid-Market'!J12:J51)+SUMIF('LOB - Enterprise'!D12:D51,$A10,'LOB - Enterprise'!J12:J51)+SUMIF('LOB - Emerging Platforms'!D12:D51,$A10,'LOB - Emerging Platforms'!J12:J51)+SUMIF('LOB - Platform PES'!D12:D51,$A10,'LOB - Platform PES'!J12:J51)</f>
        <v/>
      </c>
      <c r="F10" s="16">
        <f>IF(A10="","",B10-D10)</f>
        <v/>
      </c>
      <c r="G10" s="16">
        <f>IF(A10="","",B10-C10)</f>
        <v/>
      </c>
      <c r="H10" s="17">
        <f>IF(OR(A10="",B10=0),"",C10/B10)</f>
        <v/>
      </c>
      <c r="I10" s="16">
        <f>IF(A10="","",E10-B10)</f>
        <v/>
      </c>
      <c r="J10" s="6" t="n"/>
    </row>
    <row r="11">
      <c r="A11" s="6" t="n"/>
      <c r="B11" s="16">
        <f>SUMIF('LOB - SME'!D12:D51,$A11,'LOB - SME'!E12:E51)+SUMIF('LOB - Practice'!D12:D51,$A11,'LOB - Practice'!E12:E51)+SUMIF('LOB - Mid-Market'!D12:D51,$A11,'LOB - Mid-Market'!E12:E51)+SUMIF('LOB - Enterprise'!D12:D51,$A11,'LOB - Enterprise'!E12:E51)+SUMIF('LOB - Emerging Platforms'!D12:D51,$A11,'LOB - Emerging Platforms'!E12:E51)+SUMIF('LOB - Platform PES'!D12:D51,$A11,'LOB - Platform PES'!E12:E51)</f>
        <v/>
      </c>
      <c r="C11" s="16">
        <f>SUMIF('LOB - SME'!D12:D51,$A11,'LOB - SME'!H12:H51)+SUMIF('LOB - Practice'!D12:D51,$A11,'LOB - Practice'!H12:H51)+SUMIF('LOB - Mid-Market'!D12:D51,$A11,'LOB - Mid-Market'!H12:H51)+SUMIF('LOB - Enterprise'!D12:D51,$A11,'LOB - Enterprise'!H12:H51)+SUMIF('LOB - Emerging Platforms'!D12:D51,$A11,'LOB - Emerging Platforms'!H12:H51)+SUMIF('LOB - Platform PES'!D12:D51,$A11,'LOB - Platform PES'!H12:H51)</f>
        <v/>
      </c>
      <c r="D11" s="16">
        <f>SUMIF('LOB - SME'!D12:D51,$A11,'LOB - SME'!I12:I51)+SUMIF('LOB - Practice'!D12:D51,$A11,'LOB - Practice'!I12:I51)+SUMIF('LOB - Mid-Market'!D12:D51,$A11,'LOB - Mid-Market'!I12:I51)+SUMIF('LOB - Enterprise'!D12:D51,$A11,'LOB - Enterprise'!I12:I51)+SUMIF('LOB - Emerging Platforms'!D12:D51,$A11,'LOB - Emerging Platforms'!I12:I51)+SUMIF('LOB - Platform PES'!D12:D51,$A11,'LOB - Platform PES'!I12:I51)</f>
        <v/>
      </c>
      <c r="E11" s="16">
        <f>SUMIF('LOB - SME'!D12:D51,$A11,'LOB - SME'!J12:J51)+SUMIF('LOB - Practice'!D12:D51,$A11,'LOB - Practice'!J12:J51)+SUMIF('LOB - Mid-Market'!D12:D51,$A11,'LOB - Mid-Market'!J12:J51)+SUMIF('LOB - Enterprise'!D12:D51,$A11,'LOB - Enterprise'!J12:J51)+SUMIF('LOB - Emerging Platforms'!D12:D51,$A11,'LOB - Emerging Platforms'!J12:J51)+SUMIF('LOB - Platform PES'!D12:D51,$A11,'LOB - Platform PES'!J12:J51)</f>
        <v/>
      </c>
      <c r="F11" s="16">
        <f>IF(A11="","",B11-D11)</f>
        <v/>
      </c>
      <c r="G11" s="16">
        <f>IF(A11="","",B11-C11)</f>
        <v/>
      </c>
      <c r="H11" s="17">
        <f>IF(OR(A11="",B11=0),"",C11/B11)</f>
        <v/>
      </c>
      <c r="I11" s="16">
        <f>IF(A11="","",E11-B11)</f>
        <v/>
      </c>
      <c r="J11" s="6" t="n"/>
    </row>
    <row r="12">
      <c r="A12" s="6" t="n"/>
      <c r="B12" s="16">
        <f>SUMIF('LOB - SME'!D12:D51,$A12,'LOB - SME'!E12:E51)+SUMIF('LOB - Practice'!D12:D51,$A12,'LOB - Practice'!E12:E51)+SUMIF('LOB - Mid-Market'!D12:D51,$A12,'LOB - Mid-Market'!E12:E51)+SUMIF('LOB - Enterprise'!D12:D51,$A12,'LOB - Enterprise'!E12:E51)+SUMIF('LOB - Emerging Platforms'!D12:D51,$A12,'LOB - Emerging Platforms'!E12:E51)+SUMIF('LOB - Platform PES'!D12:D51,$A12,'LOB - Platform PES'!E12:E51)</f>
        <v/>
      </c>
      <c r="C12" s="16">
        <f>SUMIF('LOB - SME'!D12:D51,$A12,'LOB - SME'!H12:H51)+SUMIF('LOB - Practice'!D12:D51,$A12,'LOB - Practice'!H12:H51)+SUMIF('LOB - Mid-Market'!D12:D51,$A12,'LOB - Mid-Market'!H12:H51)+SUMIF('LOB - Enterprise'!D12:D51,$A12,'LOB - Enterprise'!H12:H51)+SUMIF('LOB - Emerging Platforms'!D12:D51,$A12,'LOB - Emerging Platforms'!H12:H51)+SUMIF('LOB - Platform PES'!D12:D51,$A12,'LOB - Platform PES'!H12:H51)</f>
        <v/>
      </c>
      <c r="D12" s="16">
        <f>SUMIF('LOB - SME'!D12:D51,$A12,'LOB - SME'!I12:I51)+SUMIF('LOB - Practice'!D12:D51,$A12,'LOB - Practice'!I12:I51)+SUMIF('LOB - Mid-Market'!D12:D51,$A12,'LOB - Mid-Market'!I12:I51)+SUMIF('LOB - Enterprise'!D12:D51,$A12,'LOB - Enterprise'!I12:I51)+SUMIF('LOB - Emerging Platforms'!D12:D51,$A12,'LOB - Emerging Platforms'!I12:I51)+SUMIF('LOB - Platform PES'!D12:D51,$A12,'LOB - Platform PES'!I12:I51)</f>
        <v/>
      </c>
      <c r="E12" s="16">
        <f>SUMIF('LOB - SME'!D12:D51,$A12,'LOB - SME'!J12:J51)+SUMIF('LOB - Practice'!D12:D51,$A12,'LOB - Practice'!J12:J51)+SUMIF('LOB - Mid-Market'!D12:D51,$A12,'LOB - Mid-Market'!J12:J51)+SUMIF('LOB - Enterprise'!D12:D51,$A12,'LOB - Enterprise'!J12:J51)+SUMIF('LOB - Emerging Platforms'!D12:D51,$A12,'LOB - Emerging Platforms'!J12:J51)+SUMIF('LOB - Platform PES'!D12:D51,$A12,'LOB - Platform PES'!J12:J51)</f>
        <v/>
      </c>
      <c r="F12" s="16">
        <f>IF(A12="","",B12-D12)</f>
        <v/>
      </c>
      <c r="G12" s="16">
        <f>IF(A12="","",B12-C12)</f>
        <v/>
      </c>
      <c r="H12" s="17">
        <f>IF(OR(A12="",B12=0),"",C12/B12)</f>
        <v/>
      </c>
      <c r="I12" s="16">
        <f>IF(A12="","",E12-B12)</f>
        <v/>
      </c>
      <c r="J12" s="6" t="n"/>
    </row>
    <row r="13">
      <c r="A13" s="6" t="n"/>
      <c r="B13" s="16">
        <f>SUMIF('LOB - SME'!D12:D51,$A13,'LOB - SME'!E12:E51)+SUMIF('LOB - Practice'!D12:D51,$A13,'LOB - Practice'!E12:E51)+SUMIF('LOB - Mid-Market'!D12:D51,$A13,'LOB - Mid-Market'!E12:E51)+SUMIF('LOB - Enterprise'!D12:D51,$A13,'LOB - Enterprise'!E12:E51)+SUMIF('LOB - Emerging Platforms'!D12:D51,$A13,'LOB - Emerging Platforms'!E12:E51)+SUMIF('LOB - Platform PES'!D12:D51,$A13,'LOB - Platform PES'!E12:E51)</f>
        <v/>
      </c>
      <c r="C13" s="16">
        <f>SUMIF('LOB - SME'!D12:D51,$A13,'LOB - SME'!H12:H51)+SUMIF('LOB - Practice'!D12:D51,$A13,'LOB - Practice'!H12:H51)+SUMIF('LOB - Mid-Market'!D12:D51,$A13,'LOB - Mid-Market'!H12:H51)+SUMIF('LOB - Enterprise'!D12:D51,$A13,'LOB - Enterprise'!H12:H51)+SUMIF('LOB - Emerging Platforms'!D12:D51,$A13,'LOB - Emerging Platforms'!H12:H51)+SUMIF('LOB - Platform PES'!D12:D51,$A13,'LOB - Platform PES'!H12:H51)</f>
        <v/>
      </c>
      <c r="D13" s="16">
        <f>SUMIF('LOB - SME'!D12:D51,$A13,'LOB - SME'!I12:I51)+SUMIF('LOB - Practice'!D12:D51,$A13,'LOB - Practice'!I12:I51)+SUMIF('LOB - Mid-Market'!D12:D51,$A13,'LOB - Mid-Market'!I12:I51)+SUMIF('LOB - Enterprise'!D12:D51,$A13,'LOB - Enterprise'!I12:I51)+SUMIF('LOB - Emerging Platforms'!D12:D51,$A13,'LOB - Emerging Platforms'!I12:I51)+SUMIF('LOB - Platform PES'!D12:D51,$A13,'LOB - Platform PES'!I12:I51)</f>
        <v/>
      </c>
      <c r="E13" s="16">
        <f>SUMIF('LOB - SME'!D12:D51,$A13,'LOB - SME'!J12:J51)+SUMIF('LOB - Practice'!D12:D51,$A13,'LOB - Practice'!J12:J51)+SUMIF('LOB - Mid-Market'!D12:D51,$A13,'LOB - Mid-Market'!J12:J51)+SUMIF('LOB - Enterprise'!D12:D51,$A13,'LOB - Enterprise'!J12:J51)+SUMIF('LOB - Emerging Platforms'!D12:D51,$A13,'LOB - Emerging Platforms'!J12:J51)+SUMIF('LOB - Platform PES'!D12:D51,$A13,'LOB - Platform PES'!J12:J51)</f>
        <v/>
      </c>
      <c r="F13" s="16">
        <f>IF(A13="","",B13-D13)</f>
        <v/>
      </c>
      <c r="G13" s="16">
        <f>IF(A13="","",B13-C13)</f>
        <v/>
      </c>
      <c r="H13" s="17">
        <f>IF(OR(A13="",B13=0),"",C13/B13)</f>
        <v/>
      </c>
      <c r="I13" s="16">
        <f>IF(A13="","",E13-B13)</f>
        <v/>
      </c>
      <c r="J13" s="6" t="n"/>
    </row>
    <row r="14">
      <c r="A14" s="6" t="n"/>
      <c r="B14" s="16">
        <f>SUMIF('LOB - SME'!D12:D51,$A14,'LOB - SME'!E12:E51)+SUMIF('LOB - Practice'!D12:D51,$A14,'LOB - Practice'!E12:E51)+SUMIF('LOB - Mid-Market'!D12:D51,$A14,'LOB - Mid-Market'!E12:E51)+SUMIF('LOB - Enterprise'!D12:D51,$A14,'LOB - Enterprise'!E12:E51)+SUMIF('LOB - Emerging Platforms'!D12:D51,$A14,'LOB - Emerging Platforms'!E12:E51)+SUMIF('LOB - Platform PES'!D12:D51,$A14,'LOB - Platform PES'!E12:E51)</f>
        <v/>
      </c>
      <c r="C14" s="16">
        <f>SUMIF('LOB - SME'!D12:D51,$A14,'LOB - SME'!H12:H51)+SUMIF('LOB - Practice'!D12:D51,$A14,'LOB - Practice'!H12:H51)+SUMIF('LOB - Mid-Market'!D12:D51,$A14,'LOB - Mid-Market'!H12:H51)+SUMIF('LOB - Enterprise'!D12:D51,$A14,'LOB - Enterprise'!H12:H51)+SUMIF('LOB - Emerging Platforms'!D12:D51,$A14,'LOB - Emerging Platforms'!H12:H51)+SUMIF('LOB - Platform PES'!D12:D51,$A14,'LOB - Platform PES'!H12:H51)</f>
        <v/>
      </c>
      <c r="D14" s="16">
        <f>SUMIF('LOB - SME'!D12:D51,$A14,'LOB - SME'!I12:I51)+SUMIF('LOB - Practice'!D12:D51,$A14,'LOB - Practice'!I12:I51)+SUMIF('LOB - Mid-Market'!D12:D51,$A14,'LOB - Mid-Market'!I12:I51)+SUMIF('LOB - Enterprise'!D12:D51,$A14,'LOB - Enterprise'!I12:I51)+SUMIF('LOB - Emerging Platforms'!D12:D51,$A14,'LOB - Emerging Platforms'!I12:I51)+SUMIF('LOB - Platform PES'!D12:D51,$A14,'LOB - Platform PES'!I12:I51)</f>
        <v/>
      </c>
      <c r="E14" s="16">
        <f>SUMIF('LOB - SME'!D12:D51,$A14,'LOB - SME'!J12:J51)+SUMIF('LOB - Practice'!D12:D51,$A14,'LOB - Practice'!J12:J51)+SUMIF('LOB - Mid-Market'!D12:D51,$A14,'LOB - Mid-Market'!J12:J51)+SUMIF('LOB - Enterprise'!D12:D51,$A14,'LOB - Enterprise'!J12:J51)+SUMIF('LOB - Emerging Platforms'!D12:D51,$A14,'LOB - Emerging Platforms'!J12:J51)+SUMIF('LOB - Platform PES'!D12:D51,$A14,'LOB - Platform PES'!J12:J51)</f>
        <v/>
      </c>
      <c r="F14" s="16">
        <f>IF(A14="","",B14-D14)</f>
        <v/>
      </c>
      <c r="G14" s="16">
        <f>IF(A14="","",B14-C14)</f>
        <v/>
      </c>
      <c r="H14" s="17">
        <f>IF(OR(A14="",B14=0),"",C14/B14)</f>
        <v/>
      </c>
      <c r="I14" s="16">
        <f>IF(A14="","",E14-B14)</f>
        <v/>
      </c>
      <c r="J14" s="6" t="n"/>
    </row>
    <row r="15">
      <c r="A15" s="6" t="n"/>
      <c r="B15" s="16">
        <f>SUMIF('LOB - SME'!D12:D51,$A15,'LOB - SME'!E12:E51)+SUMIF('LOB - Practice'!D12:D51,$A15,'LOB - Practice'!E12:E51)+SUMIF('LOB - Mid-Market'!D12:D51,$A15,'LOB - Mid-Market'!E12:E51)+SUMIF('LOB - Enterprise'!D12:D51,$A15,'LOB - Enterprise'!E12:E51)+SUMIF('LOB - Emerging Platforms'!D12:D51,$A15,'LOB - Emerging Platforms'!E12:E51)+SUMIF('LOB - Platform PES'!D12:D51,$A15,'LOB - Platform PES'!E12:E51)</f>
        <v/>
      </c>
      <c r="C15" s="16">
        <f>SUMIF('LOB - SME'!D12:D51,$A15,'LOB - SME'!H12:H51)+SUMIF('LOB - Practice'!D12:D51,$A15,'LOB - Practice'!H12:H51)+SUMIF('LOB - Mid-Market'!D12:D51,$A15,'LOB - Mid-Market'!H12:H51)+SUMIF('LOB - Enterprise'!D12:D51,$A15,'LOB - Enterprise'!H12:H51)+SUMIF('LOB - Emerging Platforms'!D12:D51,$A15,'LOB - Emerging Platforms'!H12:H51)+SUMIF('LOB - Platform PES'!D12:D51,$A15,'LOB - Platform PES'!H12:H51)</f>
        <v/>
      </c>
      <c r="D15" s="16">
        <f>SUMIF('LOB - SME'!D12:D51,$A15,'LOB - SME'!I12:I51)+SUMIF('LOB - Practice'!D12:D51,$A15,'LOB - Practice'!I12:I51)+SUMIF('LOB - Mid-Market'!D12:D51,$A15,'LOB - Mid-Market'!I12:I51)+SUMIF('LOB - Enterprise'!D12:D51,$A15,'LOB - Enterprise'!I12:I51)+SUMIF('LOB - Emerging Platforms'!D12:D51,$A15,'LOB - Emerging Platforms'!I12:I51)+SUMIF('LOB - Platform PES'!D12:D51,$A15,'LOB - Platform PES'!I12:I51)</f>
        <v/>
      </c>
      <c r="E15" s="16">
        <f>SUMIF('LOB - SME'!D12:D51,$A15,'LOB - SME'!J12:J51)+SUMIF('LOB - Practice'!D12:D51,$A15,'LOB - Practice'!J12:J51)+SUMIF('LOB - Mid-Market'!D12:D51,$A15,'LOB - Mid-Market'!J12:J51)+SUMIF('LOB - Enterprise'!D12:D51,$A15,'LOB - Enterprise'!J12:J51)+SUMIF('LOB - Emerging Platforms'!D12:D51,$A15,'LOB - Emerging Platforms'!J12:J51)+SUMIF('LOB - Platform PES'!D12:D51,$A15,'LOB - Platform PES'!J12:J51)</f>
        <v/>
      </c>
      <c r="F15" s="16">
        <f>IF(A15="","",B15-D15)</f>
        <v/>
      </c>
      <c r="G15" s="16">
        <f>IF(A15="","",B15-C15)</f>
        <v/>
      </c>
      <c r="H15" s="17">
        <f>IF(OR(A15="",B15=0),"",C15/B15)</f>
        <v/>
      </c>
      <c r="I15" s="16">
        <f>IF(A15="","",E15-B15)</f>
        <v/>
      </c>
      <c r="J15" s="6" t="n"/>
    </row>
    <row r="16">
      <c r="A16" s="6" t="n"/>
      <c r="B16" s="16">
        <f>SUMIF('LOB - SME'!D12:D51,$A16,'LOB - SME'!E12:E51)+SUMIF('LOB - Practice'!D12:D51,$A16,'LOB - Practice'!E12:E51)+SUMIF('LOB - Mid-Market'!D12:D51,$A16,'LOB - Mid-Market'!E12:E51)+SUMIF('LOB - Enterprise'!D12:D51,$A16,'LOB - Enterprise'!E12:E51)+SUMIF('LOB - Emerging Platforms'!D12:D51,$A16,'LOB - Emerging Platforms'!E12:E51)+SUMIF('LOB - Platform PES'!D12:D51,$A16,'LOB - Platform PES'!E12:E51)</f>
        <v/>
      </c>
      <c r="C16" s="16">
        <f>SUMIF('LOB - SME'!D12:D51,$A16,'LOB - SME'!H12:H51)+SUMIF('LOB - Practice'!D12:D51,$A16,'LOB - Practice'!H12:H51)+SUMIF('LOB - Mid-Market'!D12:D51,$A16,'LOB - Mid-Market'!H12:H51)+SUMIF('LOB - Enterprise'!D12:D51,$A16,'LOB - Enterprise'!H12:H51)+SUMIF('LOB - Emerging Platforms'!D12:D51,$A16,'LOB - Emerging Platforms'!H12:H51)+SUMIF('LOB - Platform PES'!D12:D51,$A16,'LOB - Platform PES'!H12:H51)</f>
        <v/>
      </c>
      <c r="D16" s="16">
        <f>SUMIF('LOB - SME'!D12:D51,$A16,'LOB - SME'!I12:I51)+SUMIF('LOB - Practice'!D12:D51,$A16,'LOB - Practice'!I12:I51)+SUMIF('LOB - Mid-Market'!D12:D51,$A16,'LOB - Mid-Market'!I12:I51)+SUMIF('LOB - Enterprise'!D12:D51,$A16,'LOB - Enterprise'!I12:I51)+SUMIF('LOB - Emerging Platforms'!D12:D51,$A16,'LOB - Emerging Platforms'!I12:I51)+SUMIF('LOB - Platform PES'!D12:D51,$A16,'LOB - Platform PES'!I12:I51)</f>
        <v/>
      </c>
      <c r="E16" s="16">
        <f>SUMIF('LOB - SME'!D12:D51,$A16,'LOB - SME'!J12:J51)+SUMIF('LOB - Practice'!D12:D51,$A16,'LOB - Practice'!J12:J51)+SUMIF('LOB - Mid-Market'!D12:D51,$A16,'LOB - Mid-Market'!J12:J51)+SUMIF('LOB - Enterprise'!D12:D51,$A16,'LOB - Enterprise'!J12:J51)+SUMIF('LOB - Emerging Platforms'!D12:D51,$A16,'LOB - Emerging Platforms'!J12:J51)+SUMIF('LOB - Platform PES'!D12:D51,$A16,'LOB - Platform PES'!J12:J51)</f>
        <v/>
      </c>
      <c r="F16" s="16">
        <f>IF(A16="","",B16-D16)</f>
        <v/>
      </c>
      <c r="G16" s="16">
        <f>IF(A16="","",B16-C16)</f>
        <v/>
      </c>
      <c r="H16" s="17">
        <f>IF(OR(A16="",B16=0),"",C16/B16)</f>
        <v/>
      </c>
      <c r="I16" s="16">
        <f>IF(A16="","",E16-B16)</f>
        <v/>
      </c>
      <c r="J16" s="6" t="n"/>
    </row>
    <row r="17">
      <c r="A17" s="6" t="n"/>
      <c r="B17" s="16">
        <f>SUMIF('LOB - SME'!D12:D51,$A17,'LOB - SME'!E12:E51)+SUMIF('LOB - Practice'!D12:D51,$A17,'LOB - Practice'!E12:E51)+SUMIF('LOB - Mid-Market'!D12:D51,$A17,'LOB - Mid-Market'!E12:E51)+SUMIF('LOB - Enterprise'!D12:D51,$A17,'LOB - Enterprise'!E12:E51)+SUMIF('LOB - Emerging Platforms'!D12:D51,$A17,'LOB - Emerging Platforms'!E12:E51)+SUMIF('LOB - Platform PES'!D12:D51,$A17,'LOB - Platform PES'!E12:E51)</f>
        <v/>
      </c>
      <c r="C17" s="16">
        <f>SUMIF('LOB - SME'!D12:D51,$A17,'LOB - SME'!H12:H51)+SUMIF('LOB - Practice'!D12:D51,$A17,'LOB - Practice'!H12:H51)+SUMIF('LOB - Mid-Market'!D12:D51,$A17,'LOB - Mid-Market'!H12:H51)+SUMIF('LOB - Enterprise'!D12:D51,$A17,'LOB - Enterprise'!H12:H51)+SUMIF('LOB - Emerging Platforms'!D12:D51,$A17,'LOB - Emerging Platforms'!H12:H51)+SUMIF('LOB - Platform PES'!D12:D51,$A17,'LOB - Platform PES'!H12:H51)</f>
        <v/>
      </c>
      <c r="D17" s="16">
        <f>SUMIF('LOB - SME'!D12:D51,$A17,'LOB - SME'!I12:I51)+SUMIF('LOB - Practice'!D12:D51,$A17,'LOB - Practice'!I12:I51)+SUMIF('LOB - Mid-Market'!D12:D51,$A17,'LOB - Mid-Market'!I12:I51)+SUMIF('LOB - Enterprise'!D12:D51,$A17,'LOB - Enterprise'!I12:I51)+SUMIF('LOB - Emerging Platforms'!D12:D51,$A17,'LOB - Emerging Platforms'!I12:I51)+SUMIF('LOB - Platform PES'!D12:D51,$A17,'LOB - Platform PES'!I12:I51)</f>
        <v/>
      </c>
      <c r="E17" s="16">
        <f>SUMIF('LOB - SME'!D12:D51,$A17,'LOB - SME'!J12:J51)+SUMIF('LOB - Practice'!D12:D51,$A17,'LOB - Practice'!J12:J51)+SUMIF('LOB - Mid-Market'!D12:D51,$A17,'LOB - Mid-Market'!J12:J51)+SUMIF('LOB - Enterprise'!D12:D51,$A17,'LOB - Enterprise'!J12:J51)+SUMIF('LOB - Emerging Platforms'!D12:D51,$A17,'LOB - Emerging Platforms'!J12:J51)+SUMIF('LOB - Platform PES'!D12:D51,$A17,'LOB - Platform PES'!J12:J51)</f>
        <v/>
      </c>
      <c r="F17" s="16">
        <f>IF(A17="","",B17-D17)</f>
        <v/>
      </c>
      <c r="G17" s="16">
        <f>IF(A17="","",B17-C17)</f>
        <v/>
      </c>
      <c r="H17" s="17">
        <f>IF(OR(A17="",B17=0),"",C17/B17)</f>
        <v/>
      </c>
      <c r="I17" s="16">
        <f>IF(A17="","",E17-B17)</f>
        <v/>
      </c>
      <c r="J17" s="6" t="n"/>
    </row>
    <row r="18">
      <c r="A18" s="6" t="n"/>
      <c r="B18" s="16">
        <f>SUMIF('LOB - SME'!D12:D51,$A18,'LOB - SME'!E12:E51)+SUMIF('LOB - Practice'!D12:D51,$A18,'LOB - Practice'!E12:E51)+SUMIF('LOB - Mid-Market'!D12:D51,$A18,'LOB - Mid-Market'!E12:E51)+SUMIF('LOB - Enterprise'!D12:D51,$A18,'LOB - Enterprise'!E12:E51)+SUMIF('LOB - Emerging Platforms'!D12:D51,$A18,'LOB - Emerging Platforms'!E12:E51)+SUMIF('LOB - Platform PES'!D12:D51,$A18,'LOB - Platform PES'!E12:E51)</f>
        <v/>
      </c>
      <c r="C18" s="16">
        <f>SUMIF('LOB - SME'!D12:D51,$A18,'LOB - SME'!H12:H51)+SUMIF('LOB - Practice'!D12:D51,$A18,'LOB - Practice'!H12:H51)+SUMIF('LOB - Mid-Market'!D12:D51,$A18,'LOB - Mid-Market'!H12:H51)+SUMIF('LOB - Enterprise'!D12:D51,$A18,'LOB - Enterprise'!H12:H51)+SUMIF('LOB - Emerging Platforms'!D12:D51,$A18,'LOB - Emerging Platforms'!H12:H51)+SUMIF('LOB - Platform PES'!D12:D51,$A18,'LOB - Platform PES'!H12:H51)</f>
        <v/>
      </c>
      <c r="D18" s="16">
        <f>SUMIF('LOB - SME'!D12:D51,$A18,'LOB - SME'!I12:I51)+SUMIF('LOB - Practice'!D12:D51,$A18,'LOB - Practice'!I12:I51)+SUMIF('LOB - Mid-Market'!D12:D51,$A18,'LOB - Mid-Market'!I12:I51)+SUMIF('LOB - Enterprise'!D12:D51,$A18,'LOB - Enterprise'!I12:I51)+SUMIF('LOB - Emerging Platforms'!D12:D51,$A18,'LOB - Emerging Platforms'!I12:I51)+SUMIF('LOB - Platform PES'!D12:D51,$A18,'LOB - Platform PES'!I12:I51)</f>
        <v/>
      </c>
      <c r="E18" s="16">
        <f>SUMIF('LOB - SME'!D12:D51,$A18,'LOB - SME'!J12:J51)+SUMIF('LOB - Practice'!D12:D51,$A18,'LOB - Practice'!J12:J51)+SUMIF('LOB - Mid-Market'!D12:D51,$A18,'LOB - Mid-Market'!J12:J51)+SUMIF('LOB - Enterprise'!D12:D51,$A18,'LOB - Enterprise'!J12:J51)+SUMIF('LOB - Emerging Platforms'!D12:D51,$A18,'LOB - Emerging Platforms'!J12:J51)+SUMIF('LOB - Platform PES'!D12:D51,$A18,'LOB - Platform PES'!J12:J51)</f>
        <v/>
      </c>
      <c r="F18" s="16">
        <f>IF(A18="","",B18-D18)</f>
        <v/>
      </c>
      <c r="G18" s="16">
        <f>IF(A18="","",B18-C18)</f>
        <v/>
      </c>
      <c r="H18" s="17">
        <f>IF(OR(A18="",B18=0),"",C18/B18)</f>
        <v/>
      </c>
      <c r="I18" s="16">
        <f>IF(A18="","",E18-B18)</f>
        <v/>
      </c>
      <c r="J18" s="6" t="n"/>
    </row>
    <row r="19">
      <c r="A19" s="6" t="n"/>
      <c r="B19" s="16">
        <f>SUMIF('LOB - SME'!D12:D51,$A19,'LOB - SME'!E12:E51)+SUMIF('LOB - Practice'!D12:D51,$A19,'LOB - Practice'!E12:E51)+SUMIF('LOB - Mid-Market'!D12:D51,$A19,'LOB - Mid-Market'!E12:E51)+SUMIF('LOB - Enterprise'!D12:D51,$A19,'LOB - Enterprise'!E12:E51)+SUMIF('LOB - Emerging Platforms'!D12:D51,$A19,'LOB - Emerging Platforms'!E12:E51)+SUMIF('LOB - Platform PES'!D12:D51,$A19,'LOB - Platform PES'!E12:E51)</f>
        <v/>
      </c>
      <c r="C19" s="16">
        <f>SUMIF('LOB - SME'!D12:D51,$A19,'LOB - SME'!H12:H51)+SUMIF('LOB - Practice'!D12:D51,$A19,'LOB - Practice'!H12:H51)+SUMIF('LOB - Mid-Market'!D12:D51,$A19,'LOB - Mid-Market'!H12:H51)+SUMIF('LOB - Enterprise'!D12:D51,$A19,'LOB - Enterprise'!H12:H51)+SUMIF('LOB - Emerging Platforms'!D12:D51,$A19,'LOB - Emerging Platforms'!H12:H51)+SUMIF('LOB - Platform PES'!D12:D51,$A19,'LOB - Platform PES'!H12:H51)</f>
        <v/>
      </c>
      <c r="D19" s="16">
        <f>SUMIF('LOB - SME'!D12:D51,$A19,'LOB - SME'!I12:I51)+SUMIF('LOB - Practice'!D12:D51,$A19,'LOB - Practice'!I12:I51)+SUMIF('LOB - Mid-Market'!D12:D51,$A19,'LOB - Mid-Market'!I12:I51)+SUMIF('LOB - Enterprise'!D12:D51,$A19,'LOB - Enterprise'!I12:I51)+SUMIF('LOB - Emerging Platforms'!D12:D51,$A19,'LOB - Emerging Platforms'!I12:I51)+SUMIF('LOB - Platform PES'!D12:D51,$A19,'LOB - Platform PES'!I12:I51)</f>
        <v/>
      </c>
      <c r="E19" s="16">
        <f>SUMIF('LOB - SME'!D12:D51,$A19,'LOB - SME'!J12:J51)+SUMIF('LOB - Practice'!D12:D51,$A19,'LOB - Practice'!J12:J51)+SUMIF('LOB - Mid-Market'!D12:D51,$A19,'LOB - Mid-Market'!J12:J51)+SUMIF('LOB - Enterprise'!D12:D51,$A19,'LOB - Enterprise'!J12:J51)+SUMIF('LOB - Emerging Platforms'!D12:D51,$A19,'LOB - Emerging Platforms'!J12:J51)+SUMIF('LOB - Platform PES'!D12:D51,$A19,'LOB - Platform PES'!J12:J51)</f>
        <v/>
      </c>
      <c r="F19" s="16">
        <f>IF(A19="","",B19-D19)</f>
        <v/>
      </c>
      <c r="G19" s="16">
        <f>IF(A19="","",B19-C19)</f>
        <v/>
      </c>
      <c r="H19" s="17">
        <f>IF(OR(A19="",B19=0),"",C19/B19)</f>
        <v/>
      </c>
      <c r="I19" s="16">
        <f>IF(A19="","",E19-B19)</f>
        <v/>
      </c>
      <c r="J19" s="6" t="n"/>
    </row>
  </sheetData>
  <mergeCells count="2">
    <mergeCell ref="A1:J1"/>
    <mergeCell ref="A2:J2"/>
  </mergeCells>
  <conditionalFormatting sqref="H5:H19">
    <cfRule type="cellIs" priority="1" operator="greaterThan" dxfId="0">
      <formula>0.9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22" customWidth="1" min="2" max="2"/>
    <col width="14" customWidth="1" min="3" max="3"/>
    <col width="20" customWidth="1" min="4" max="4"/>
    <col width="16" customWidth="1" min="5" max="5"/>
    <col width="18" customWidth="1" min="6" max="6"/>
    <col width="13" customWidth="1" min="7" max="7"/>
    <col width="14" customWidth="1" min="8" max="8"/>
    <col width="12" customWidth="1" min="9" max="9"/>
    <col width="14" customWidth="1" min="10" max="10"/>
    <col width="12" customWidth="1" min="11" max="11"/>
    <col width="12" customWidth="1" min="12" max="12"/>
    <col width="10" customWidth="1" min="13" max="13"/>
    <col width="14" customWidth="1" min="14" max="14"/>
    <col width="12" customWidth="1" min="15" max="15"/>
    <col width="24" customWidth="1" min="16" max="16"/>
  </cols>
  <sheetData>
    <row r="1" ht="28" customHeight="1">
      <c r="A1" s="18" t="inlineStr">
        <is>
          <t>LOB Budget View — SME</t>
        </is>
      </c>
    </row>
    <row r="2">
      <c r="A2" s="4" t="inlineStr">
        <is>
          <t>Per-LOB consolidated view. Yellow = enter. Green = calculated. One row per project / workstream in this LOB. Cross-LOB Summary rolls these sheets up.</t>
        </is>
      </c>
    </row>
    <row r="4">
      <c r="A4" s="19" t="inlineStr">
        <is>
          <t>LOB</t>
        </is>
      </c>
      <c r="B4" s="6" t="inlineStr">
        <is>
          <t>SME</t>
        </is>
      </c>
      <c r="C4" s="19" t="inlineStr">
        <is>
          <t>Primary HOE</t>
        </is>
      </c>
      <c r="D4" s="6" t="inlineStr"/>
      <c r="E4" s="19" t="inlineStr">
        <is>
          <t>FY / Period</t>
        </is>
      </c>
      <c r="F4" s="6" t="inlineStr">
        <is>
          <t>FY26</t>
        </is>
      </c>
      <c r="G4" s="19" t="inlineStr">
        <is>
          <t>Currency</t>
        </is>
      </c>
      <c r="H4" s="6" t="inlineStr">
        <is>
          <t>AUD</t>
        </is>
      </c>
      <c r="I4" s="19" t="inlineStr">
        <is>
          <t>Last updated</t>
        </is>
      </c>
      <c r="J4" s="20" t="inlineStr">
        <is>
          <t>2026-10-06</t>
        </is>
      </c>
    </row>
    <row r="6">
      <c r="A6" s="15" t="inlineStr">
        <is>
          <t>LOB SUMMARY (auto from detail below)</t>
        </is>
      </c>
    </row>
    <row r="7">
      <c r="A7" s="21" t="inlineStr"/>
      <c r="B7" s="22">
        <f>SUMIF(A12:A51,"&lt;&gt;",E12:E51)</f>
        <v/>
      </c>
      <c r="C7" s="21" t="inlineStr"/>
      <c r="D7" s="22">
        <f>SUMIF(A12:A51,"&lt;&gt;",H12:H51)</f>
        <v/>
      </c>
      <c r="E7" s="21" t="inlineStr"/>
      <c r="F7" s="22">
        <f>SUMIF(A12:A51,"&lt;&gt;",I12:I51)</f>
        <v/>
      </c>
      <c r="G7" s="21" t="inlineStr"/>
      <c r="H7" s="22">
        <f>SUMIF(A12:A51,"&lt;&gt;",J12:J51)</f>
        <v/>
      </c>
      <c r="I7" s="21" t="inlineStr"/>
      <c r="J7" s="22">
        <f>IF(B7="","",B7-D7)</f>
        <v/>
      </c>
      <c r="K7" s="21" t="inlineStr"/>
      <c r="L7" s="23">
        <f>IF(OR(B7="",B7=0),"",D7/B7)</f>
        <v/>
      </c>
      <c r="M7" s="21" t="inlineStr"/>
      <c r="N7" s="22">
        <f>IF(OR(B7="",H7=""),"",H7-B7)</f>
        <v/>
      </c>
    </row>
    <row r="8">
      <c r="A8" s="24" t="inlineStr">
        <is>
          <t>Total Approved</t>
        </is>
      </c>
      <c r="B8" s="21" t="inlineStr"/>
      <c r="C8" s="24" t="inlineStr">
        <is>
          <t>Total Spent</t>
        </is>
      </c>
      <c r="D8" s="21" t="inlineStr"/>
      <c r="E8" s="24" t="inlineStr">
        <is>
          <t>Unallocated</t>
        </is>
      </c>
      <c r="F8" s="21" t="inlineStr"/>
      <c r="G8" s="24" t="inlineStr">
        <is>
          <t>Forecasted Spend</t>
        </is>
      </c>
      <c r="H8" s="21" t="inlineStr"/>
      <c r="I8" s="24" t="inlineStr">
        <is>
          <t>Remaining</t>
        </is>
      </c>
      <c r="J8" s="21" t="inlineStr"/>
      <c r="K8" s="24" t="inlineStr">
        <is>
          <t>% of Approved Spent</t>
        </is>
      </c>
      <c r="L8" s="21" t="inlineStr"/>
      <c r="M8" s="24" t="inlineStr">
        <is>
          <t>Forecast vs Approved</t>
        </is>
      </c>
      <c r="N8" s="21" t="inlineStr"/>
    </row>
    <row r="10">
      <c r="A10" s="4" t="inlineStr">
        <is>
          <t>Detail by project (enter below). Use filter on Managed by (HOE) to focus one HOE.</t>
        </is>
      </c>
    </row>
    <row r="11" ht="34" customHeight="1">
      <c r="A11" s="5" t="inlineStr">
        <is>
          <t>Project / Workstream</t>
        </is>
      </c>
      <c r="B11" s="5" t="inlineStr">
        <is>
          <t>Initiative / Cost centre</t>
        </is>
      </c>
      <c r="C11" s="5" t="inlineStr">
        <is>
          <t>Cost category</t>
        </is>
      </c>
      <c r="D11" s="5" t="inlineStr">
        <is>
          <t>Managed by (HOE)</t>
        </is>
      </c>
      <c r="E11" s="5" t="inlineStr">
        <is>
          <t>Total Budget Approved</t>
        </is>
      </c>
      <c r="F11" s="5" t="inlineStr">
        <is>
          <t>Approved By</t>
        </is>
      </c>
      <c r="G11" s="5" t="inlineStr">
        <is>
          <t>Approval Date</t>
        </is>
      </c>
      <c r="H11" s="5" t="inlineStr">
        <is>
          <t>Spent (Actual)</t>
        </is>
      </c>
      <c r="I11" s="5" t="inlineStr">
        <is>
          <t>Unallocated</t>
        </is>
      </c>
      <c r="J11" s="5" t="inlineStr">
        <is>
          <t>Forecasted Spend</t>
        </is>
      </c>
      <c r="K11" s="5" t="inlineStr">
        <is>
          <t>Allocated</t>
        </is>
      </c>
      <c r="L11" s="5" t="inlineStr">
        <is>
          <t>Remaining</t>
        </is>
      </c>
      <c r="M11" s="5" t="inlineStr">
        <is>
          <t>% Spent</t>
        </is>
      </c>
      <c r="N11" s="5" t="inlineStr">
        <is>
          <t>Forecast vs Approved</t>
        </is>
      </c>
      <c r="O11" s="5" t="inlineStr">
        <is>
          <t>Status</t>
        </is>
      </c>
      <c r="P11" s="5" t="inlineStr">
        <is>
          <t>Notes</t>
        </is>
      </c>
    </row>
    <row r="12">
      <c r="A12" s="25" t="n"/>
      <c r="B12" s="25" t="n"/>
      <c r="C12" s="26" t="n"/>
      <c r="D12" s="26" t="n"/>
      <c r="E12" s="27" t="n"/>
      <c r="F12" s="26" t="n"/>
      <c r="G12" s="28" t="n"/>
      <c r="H12" s="27" t="n"/>
      <c r="I12" s="27" t="n"/>
      <c r="J12" s="27" t="n"/>
      <c r="K12" s="10">
        <f>IF(OR(E12="",I12=""),"",E12-I12)</f>
        <v/>
      </c>
      <c r="L12" s="10">
        <f>IF(OR(E12="",H12=""),"",E12-H12)</f>
        <v/>
      </c>
      <c r="M12" s="11">
        <f>IF(OR(E12="",E12=0,H12=""),"",H12/E12)</f>
        <v/>
      </c>
      <c r="N12" s="10">
        <f>IF(OR(E12="",J12=""),"",J12-E12)</f>
        <v/>
      </c>
      <c r="O12" s="26" t="n"/>
      <c r="P12" s="25" t="n"/>
    </row>
    <row r="13">
      <c r="A13" s="25" t="n"/>
      <c r="B13" s="25" t="n"/>
      <c r="C13" s="26" t="n"/>
      <c r="D13" s="26" t="n"/>
      <c r="E13" s="27" t="n"/>
      <c r="F13" s="26" t="n"/>
      <c r="G13" s="28" t="n"/>
      <c r="H13" s="27" t="n"/>
      <c r="I13" s="27" t="n"/>
      <c r="J13" s="27" t="n"/>
      <c r="K13" s="10">
        <f>IF(OR(E13="",I13=""),"",E13-I13)</f>
        <v/>
      </c>
      <c r="L13" s="10">
        <f>IF(OR(E13="",H13=""),"",E13-H13)</f>
        <v/>
      </c>
      <c r="M13" s="11">
        <f>IF(OR(E13="",E13=0,H13=""),"",H13/E13)</f>
        <v/>
      </c>
      <c r="N13" s="10">
        <f>IF(OR(E13="",J13=""),"",J13-E13)</f>
        <v/>
      </c>
      <c r="O13" s="26" t="n"/>
      <c r="P13" s="25" t="n"/>
    </row>
    <row r="14">
      <c r="A14" s="25" t="n"/>
      <c r="B14" s="25" t="n"/>
      <c r="C14" s="26" t="n"/>
      <c r="D14" s="26" t="n"/>
      <c r="E14" s="27" t="n"/>
      <c r="F14" s="26" t="n"/>
      <c r="G14" s="28" t="n"/>
      <c r="H14" s="27" t="n"/>
      <c r="I14" s="27" t="n"/>
      <c r="J14" s="27" t="n"/>
      <c r="K14" s="10">
        <f>IF(OR(E14="",I14=""),"",E14-I14)</f>
        <v/>
      </c>
      <c r="L14" s="10">
        <f>IF(OR(E14="",H14=""),"",E14-H14)</f>
        <v/>
      </c>
      <c r="M14" s="11">
        <f>IF(OR(E14="",E14=0,H14=""),"",H14/E14)</f>
        <v/>
      </c>
      <c r="N14" s="10">
        <f>IF(OR(E14="",J14=""),"",J14-E14)</f>
        <v/>
      </c>
      <c r="O14" s="26" t="n"/>
      <c r="P14" s="25" t="n"/>
    </row>
    <row r="15">
      <c r="A15" s="25" t="n"/>
      <c r="B15" s="25" t="n"/>
      <c r="C15" s="26" t="n"/>
      <c r="D15" s="26" t="n"/>
      <c r="E15" s="27" t="n"/>
      <c r="F15" s="26" t="n"/>
      <c r="G15" s="28" t="n"/>
      <c r="H15" s="27" t="n"/>
      <c r="I15" s="27" t="n"/>
      <c r="J15" s="27" t="n"/>
      <c r="K15" s="10">
        <f>IF(OR(E15="",I15=""),"",E15-I15)</f>
        <v/>
      </c>
      <c r="L15" s="10">
        <f>IF(OR(E15="",H15=""),"",E15-H15)</f>
        <v/>
      </c>
      <c r="M15" s="11">
        <f>IF(OR(E15="",E15=0,H15=""),"",H15/E15)</f>
        <v/>
      </c>
      <c r="N15" s="10">
        <f>IF(OR(E15="",J15=""),"",J15-E15)</f>
        <v/>
      </c>
      <c r="O15" s="26" t="n"/>
      <c r="P15" s="25" t="n"/>
    </row>
    <row r="16">
      <c r="A16" s="25" t="n"/>
      <c r="B16" s="25" t="n"/>
      <c r="C16" s="26" t="n"/>
      <c r="D16" s="26" t="n"/>
      <c r="E16" s="27" t="n"/>
      <c r="F16" s="26" t="n"/>
      <c r="G16" s="28" t="n"/>
      <c r="H16" s="27" t="n"/>
      <c r="I16" s="27" t="n"/>
      <c r="J16" s="27" t="n"/>
      <c r="K16" s="10">
        <f>IF(OR(E16="",I16=""),"",E16-I16)</f>
        <v/>
      </c>
      <c r="L16" s="10">
        <f>IF(OR(E16="",H16=""),"",E16-H16)</f>
        <v/>
      </c>
      <c r="M16" s="11">
        <f>IF(OR(E16="",E16=0,H16=""),"",H16/E16)</f>
        <v/>
      </c>
      <c r="N16" s="10">
        <f>IF(OR(E16="",J16=""),"",J16-E16)</f>
        <v/>
      </c>
      <c r="O16" s="26" t="n"/>
      <c r="P16" s="25" t="n"/>
    </row>
    <row r="17">
      <c r="A17" s="25" t="n"/>
      <c r="B17" s="25" t="n"/>
      <c r="C17" s="26" t="n"/>
      <c r="D17" s="26" t="n"/>
      <c r="E17" s="27" t="n"/>
      <c r="F17" s="26" t="n"/>
      <c r="G17" s="28" t="n"/>
      <c r="H17" s="27" t="n"/>
      <c r="I17" s="27" t="n"/>
      <c r="J17" s="27" t="n"/>
      <c r="K17" s="10">
        <f>IF(OR(E17="",I17=""),"",E17-I17)</f>
        <v/>
      </c>
      <c r="L17" s="10">
        <f>IF(OR(E17="",H17=""),"",E17-H17)</f>
        <v/>
      </c>
      <c r="M17" s="11">
        <f>IF(OR(E17="",E17=0,H17=""),"",H17/E17)</f>
        <v/>
      </c>
      <c r="N17" s="10">
        <f>IF(OR(E17="",J17=""),"",J17-E17)</f>
        <v/>
      </c>
      <c r="O17" s="26" t="n"/>
      <c r="P17" s="25" t="n"/>
    </row>
    <row r="18">
      <c r="A18" s="25" t="n"/>
      <c r="B18" s="25" t="n"/>
      <c r="C18" s="26" t="n"/>
      <c r="D18" s="26" t="n"/>
      <c r="E18" s="27" t="n"/>
      <c r="F18" s="26" t="n"/>
      <c r="G18" s="28" t="n"/>
      <c r="H18" s="27" t="n"/>
      <c r="I18" s="27" t="n"/>
      <c r="J18" s="27" t="n"/>
      <c r="K18" s="10">
        <f>IF(OR(E18="",I18=""),"",E18-I18)</f>
        <v/>
      </c>
      <c r="L18" s="10">
        <f>IF(OR(E18="",H18=""),"",E18-H18)</f>
        <v/>
      </c>
      <c r="M18" s="11">
        <f>IF(OR(E18="",E18=0,H18=""),"",H18/E18)</f>
        <v/>
      </c>
      <c r="N18" s="10">
        <f>IF(OR(E18="",J18=""),"",J18-E18)</f>
        <v/>
      </c>
      <c r="O18" s="26" t="n"/>
      <c r="P18" s="25" t="n"/>
    </row>
    <row r="19">
      <c r="A19" s="25" t="n"/>
      <c r="B19" s="25" t="n"/>
      <c r="C19" s="26" t="n"/>
      <c r="D19" s="26" t="n"/>
      <c r="E19" s="27" t="n"/>
      <c r="F19" s="26" t="n"/>
      <c r="G19" s="28" t="n"/>
      <c r="H19" s="27" t="n"/>
      <c r="I19" s="27" t="n"/>
      <c r="J19" s="27" t="n"/>
      <c r="K19" s="10">
        <f>IF(OR(E19="",I19=""),"",E19-I19)</f>
        <v/>
      </c>
      <c r="L19" s="10">
        <f>IF(OR(E19="",H19=""),"",E19-H19)</f>
        <v/>
      </c>
      <c r="M19" s="11">
        <f>IF(OR(E19="",E19=0,H19=""),"",H19/E19)</f>
        <v/>
      </c>
      <c r="N19" s="10">
        <f>IF(OR(E19="",J19=""),"",J19-E19)</f>
        <v/>
      </c>
      <c r="O19" s="26" t="n"/>
      <c r="P19" s="25" t="n"/>
    </row>
    <row r="20">
      <c r="A20" s="25" t="n"/>
      <c r="B20" s="25" t="n"/>
      <c r="C20" s="26" t="n"/>
      <c r="D20" s="26" t="n"/>
      <c r="E20" s="27" t="n"/>
      <c r="F20" s="26" t="n"/>
      <c r="G20" s="28" t="n"/>
      <c r="H20" s="27" t="n"/>
      <c r="I20" s="27" t="n"/>
      <c r="J20" s="27" t="n"/>
      <c r="K20" s="10">
        <f>IF(OR(E20="",I20=""),"",E20-I20)</f>
        <v/>
      </c>
      <c r="L20" s="10">
        <f>IF(OR(E20="",H20=""),"",E20-H20)</f>
        <v/>
      </c>
      <c r="M20" s="11">
        <f>IF(OR(E20="",E20=0,H20=""),"",H20/E20)</f>
        <v/>
      </c>
      <c r="N20" s="10">
        <f>IF(OR(E20="",J20=""),"",J20-E20)</f>
        <v/>
      </c>
      <c r="O20" s="26" t="n"/>
      <c r="P20" s="25" t="n"/>
    </row>
    <row r="21">
      <c r="A21" s="25" t="n"/>
      <c r="B21" s="25" t="n"/>
      <c r="C21" s="26" t="n"/>
      <c r="D21" s="26" t="n"/>
      <c r="E21" s="27" t="n"/>
      <c r="F21" s="26" t="n"/>
      <c r="G21" s="28" t="n"/>
      <c r="H21" s="27" t="n"/>
      <c r="I21" s="27" t="n"/>
      <c r="J21" s="27" t="n"/>
      <c r="K21" s="10">
        <f>IF(OR(E21="",I21=""),"",E21-I21)</f>
        <v/>
      </c>
      <c r="L21" s="10">
        <f>IF(OR(E21="",H21=""),"",E21-H21)</f>
        <v/>
      </c>
      <c r="M21" s="11">
        <f>IF(OR(E21="",E21=0,H21=""),"",H21/E21)</f>
        <v/>
      </c>
      <c r="N21" s="10">
        <f>IF(OR(E21="",J21=""),"",J21-E21)</f>
        <v/>
      </c>
      <c r="O21" s="26" t="n"/>
      <c r="P21" s="25" t="n"/>
    </row>
    <row r="22">
      <c r="A22" s="25" t="n"/>
      <c r="B22" s="25" t="n"/>
      <c r="C22" s="26" t="n"/>
      <c r="D22" s="26" t="n"/>
      <c r="E22" s="27" t="n"/>
      <c r="F22" s="26" t="n"/>
      <c r="G22" s="28" t="n"/>
      <c r="H22" s="27" t="n"/>
      <c r="I22" s="27" t="n"/>
      <c r="J22" s="27" t="n"/>
      <c r="K22" s="10">
        <f>IF(OR(E22="",I22=""),"",E22-I22)</f>
        <v/>
      </c>
      <c r="L22" s="10">
        <f>IF(OR(E22="",H22=""),"",E22-H22)</f>
        <v/>
      </c>
      <c r="M22" s="11">
        <f>IF(OR(E22="",E22=0,H22=""),"",H22/E22)</f>
        <v/>
      </c>
      <c r="N22" s="10">
        <f>IF(OR(E22="",J22=""),"",J22-E22)</f>
        <v/>
      </c>
      <c r="O22" s="26" t="n"/>
      <c r="P22" s="25" t="n"/>
    </row>
    <row r="23">
      <c r="A23" s="25" t="n"/>
      <c r="B23" s="25" t="n"/>
      <c r="C23" s="26" t="n"/>
      <c r="D23" s="26" t="n"/>
      <c r="E23" s="27" t="n"/>
      <c r="F23" s="26" t="n"/>
      <c r="G23" s="28" t="n"/>
      <c r="H23" s="27" t="n"/>
      <c r="I23" s="27" t="n"/>
      <c r="J23" s="27" t="n"/>
      <c r="K23" s="10">
        <f>IF(OR(E23="",I23=""),"",E23-I23)</f>
        <v/>
      </c>
      <c r="L23" s="10">
        <f>IF(OR(E23="",H23=""),"",E23-H23)</f>
        <v/>
      </c>
      <c r="M23" s="11">
        <f>IF(OR(E23="",E23=0,H23=""),"",H23/E23)</f>
        <v/>
      </c>
      <c r="N23" s="10">
        <f>IF(OR(E23="",J23=""),"",J23-E23)</f>
        <v/>
      </c>
      <c r="O23" s="26" t="n"/>
      <c r="P23" s="25" t="n"/>
    </row>
    <row r="24">
      <c r="A24" s="25" t="n"/>
      <c r="B24" s="25" t="n"/>
      <c r="C24" s="26" t="n"/>
      <c r="D24" s="26" t="n"/>
      <c r="E24" s="27" t="n"/>
      <c r="F24" s="26" t="n"/>
      <c r="G24" s="28" t="n"/>
      <c r="H24" s="27" t="n"/>
      <c r="I24" s="27" t="n"/>
      <c r="J24" s="27" t="n"/>
      <c r="K24" s="10">
        <f>IF(OR(E24="",I24=""),"",E24-I24)</f>
        <v/>
      </c>
      <c r="L24" s="10">
        <f>IF(OR(E24="",H24=""),"",E24-H24)</f>
        <v/>
      </c>
      <c r="M24" s="11">
        <f>IF(OR(E24="",E24=0,H24=""),"",H24/E24)</f>
        <v/>
      </c>
      <c r="N24" s="10">
        <f>IF(OR(E24="",J24=""),"",J24-E24)</f>
        <v/>
      </c>
      <c r="O24" s="26" t="n"/>
      <c r="P24" s="25" t="n"/>
    </row>
    <row r="25">
      <c r="A25" s="25" t="n"/>
      <c r="B25" s="25" t="n"/>
      <c r="C25" s="26" t="n"/>
      <c r="D25" s="26" t="n"/>
      <c r="E25" s="27" t="n"/>
      <c r="F25" s="26" t="n"/>
      <c r="G25" s="28" t="n"/>
      <c r="H25" s="27" t="n"/>
      <c r="I25" s="27" t="n"/>
      <c r="J25" s="27" t="n"/>
      <c r="K25" s="10">
        <f>IF(OR(E25="",I25=""),"",E25-I25)</f>
        <v/>
      </c>
      <c r="L25" s="10">
        <f>IF(OR(E25="",H25=""),"",E25-H25)</f>
        <v/>
      </c>
      <c r="M25" s="11">
        <f>IF(OR(E25="",E25=0,H25=""),"",H25/E25)</f>
        <v/>
      </c>
      <c r="N25" s="10">
        <f>IF(OR(E25="",J25=""),"",J25-E25)</f>
        <v/>
      </c>
      <c r="O25" s="26" t="n"/>
      <c r="P25" s="25" t="n"/>
    </row>
    <row r="26">
      <c r="A26" s="25" t="n"/>
      <c r="B26" s="25" t="n"/>
      <c r="C26" s="26" t="n"/>
      <c r="D26" s="26" t="n"/>
      <c r="E26" s="27" t="n"/>
      <c r="F26" s="26" t="n"/>
      <c r="G26" s="28" t="n"/>
      <c r="H26" s="27" t="n"/>
      <c r="I26" s="27" t="n"/>
      <c r="J26" s="27" t="n"/>
      <c r="K26" s="10">
        <f>IF(OR(E26="",I26=""),"",E26-I26)</f>
        <v/>
      </c>
      <c r="L26" s="10">
        <f>IF(OR(E26="",H26=""),"",E26-H26)</f>
        <v/>
      </c>
      <c r="M26" s="11">
        <f>IF(OR(E26="",E26=0,H26=""),"",H26/E26)</f>
        <v/>
      </c>
      <c r="N26" s="10">
        <f>IF(OR(E26="",J26=""),"",J26-E26)</f>
        <v/>
      </c>
      <c r="O26" s="26" t="n"/>
      <c r="P26" s="25" t="n"/>
    </row>
    <row r="27">
      <c r="A27" s="25" t="n"/>
      <c r="B27" s="25" t="n"/>
      <c r="C27" s="26" t="n"/>
      <c r="D27" s="26" t="n"/>
      <c r="E27" s="27" t="n"/>
      <c r="F27" s="26" t="n"/>
      <c r="G27" s="28" t="n"/>
      <c r="H27" s="27" t="n"/>
      <c r="I27" s="27" t="n"/>
      <c r="J27" s="27" t="n"/>
      <c r="K27" s="10">
        <f>IF(OR(E27="",I27=""),"",E27-I27)</f>
        <v/>
      </c>
      <c r="L27" s="10">
        <f>IF(OR(E27="",H27=""),"",E27-H27)</f>
        <v/>
      </c>
      <c r="M27" s="11">
        <f>IF(OR(E27="",E27=0,H27=""),"",H27/E27)</f>
        <v/>
      </c>
      <c r="N27" s="10">
        <f>IF(OR(E27="",J27=""),"",J27-E27)</f>
        <v/>
      </c>
      <c r="O27" s="26" t="n"/>
      <c r="P27" s="25" t="n"/>
    </row>
    <row r="28">
      <c r="A28" s="25" t="n"/>
      <c r="B28" s="25" t="n"/>
      <c r="C28" s="26" t="n"/>
      <c r="D28" s="26" t="n"/>
      <c r="E28" s="27" t="n"/>
      <c r="F28" s="26" t="n"/>
      <c r="G28" s="28" t="n"/>
      <c r="H28" s="27" t="n"/>
      <c r="I28" s="27" t="n"/>
      <c r="J28" s="27" t="n"/>
      <c r="K28" s="10">
        <f>IF(OR(E28="",I28=""),"",E28-I28)</f>
        <v/>
      </c>
      <c r="L28" s="10">
        <f>IF(OR(E28="",H28=""),"",E28-H28)</f>
        <v/>
      </c>
      <c r="M28" s="11">
        <f>IF(OR(E28="",E28=0,H28=""),"",H28/E28)</f>
        <v/>
      </c>
      <c r="N28" s="10">
        <f>IF(OR(E28="",J28=""),"",J28-E28)</f>
        <v/>
      </c>
      <c r="O28" s="26" t="n"/>
      <c r="P28" s="25" t="n"/>
    </row>
    <row r="29">
      <c r="A29" s="25" t="n"/>
      <c r="B29" s="25" t="n"/>
      <c r="C29" s="26" t="n"/>
      <c r="D29" s="26" t="n"/>
      <c r="E29" s="27" t="n"/>
      <c r="F29" s="26" t="n"/>
      <c r="G29" s="28" t="n"/>
      <c r="H29" s="27" t="n"/>
      <c r="I29" s="27" t="n"/>
      <c r="J29" s="27" t="n"/>
      <c r="K29" s="10">
        <f>IF(OR(E29="",I29=""),"",E29-I29)</f>
        <v/>
      </c>
      <c r="L29" s="10">
        <f>IF(OR(E29="",H29=""),"",E29-H29)</f>
        <v/>
      </c>
      <c r="M29" s="11">
        <f>IF(OR(E29="",E29=0,H29=""),"",H29/E29)</f>
        <v/>
      </c>
      <c r="N29" s="10">
        <f>IF(OR(E29="",J29=""),"",J29-E29)</f>
        <v/>
      </c>
      <c r="O29" s="26" t="n"/>
      <c r="P29" s="25" t="n"/>
    </row>
    <row r="30">
      <c r="A30" s="25" t="n"/>
      <c r="B30" s="25" t="n"/>
      <c r="C30" s="26" t="n"/>
      <c r="D30" s="26" t="n"/>
      <c r="E30" s="27" t="n"/>
      <c r="F30" s="26" t="n"/>
      <c r="G30" s="28" t="n"/>
      <c r="H30" s="27" t="n"/>
      <c r="I30" s="27" t="n"/>
      <c r="J30" s="27" t="n"/>
      <c r="K30" s="10">
        <f>IF(OR(E30="",I30=""),"",E30-I30)</f>
        <v/>
      </c>
      <c r="L30" s="10">
        <f>IF(OR(E30="",H30=""),"",E30-H30)</f>
        <v/>
      </c>
      <c r="M30" s="11">
        <f>IF(OR(E30="",E30=0,H30=""),"",H30/E30)</f>
        <v/>
      </c>
      <c r="N30" s="10">
        <f>IF(OR(E30="",J30=""),"",J30-E30)</f>
        <v/>
      </c>
      <c r="O30" s="26" t="n"/>
      <c r="P30" s="25" t="n"/>
    </row>
    <row r="31">
      <c r="A31" s="25" t="n"/>
      <c r="B31" s="25" t="n"/>
      <c r="C31" s="26" t="n"/>
      <c r="D31" s="26" t="n"/>
      <c r="E31" s="27" t="n"/>
      <c r="F31" s="26" t="n"/>
      <c r="G31" s="28" t="n"/>
      <c r="H31" s="27" t="n"/>
      <c r="I31" s="27" t="n"/>
      <c r="J31" s="27" t="n"/>
      <c r="K31" s="10">
        <f>IF(OR(E31="",I31=""),"",E31-I31)</f>
        <v/>
      </c>
      <c r="L31" s="10">
        <f>IF(OR(E31="",H31=""),"",E31-H31)</f>
        <v/>
      </c>
      <c r="M31" s="11">
        <f>IF(OR(E31="",E31=0,H31=""),"",H31/E31)</f>
        <v/>
      </c>
      <c r="N31" s="10">
        <f>IF(OR(E31="",J31=""),"",J31-E31)</f>
        <v/>
      </c>
      <c r="O31" s="26" t="n"/>
      <c r="P31" s="25" t="n"/>
    </row>
    <row r="32">
      <c r="A32" s="25" t="n"/>
      <c r="B32" s="25" t="n"/>
      <c r="C32" s="26" t="n"/>
      <c r="D32" s="26" t="n"/>
      <c r="E32" s="27" t="n"/>
      <c r="F32" s="26" t="n"/>
      <c r="G32" s="28" t="n"/>
      <c r="H32" s="27" t="n"/>
      <c r="I32" s="27" t="n"/>
      <c r="J32" s="27" t="n"/>
      <c r="K32" s="10">
        <f>IF(OR(E32="",I32=""),"",E32-I32)</f>
        <v/>
      </c>
      <c r="L32" s="10">
        <f>IF(OR(E32="",H32=""),"",E32-H32)</f>
        <v/>
      </c>
      <c r="M32" s="11">
        <f>IF(OR(E32="",E32=0,H32=""),"",H32/E32)</f>
        <v/>
      </c>
      <c r="N32" s="10">
        <f>IF(OR(E32="",J32=""),"",J32-E32)</f>
        <v/>
      </c>
      <c r="O32" s="26" t="n"/>
      <c r="P32" s="25" t="n"/>
    </row>
    <row r="33">
      <c r="A33" s="25" t="n"/>
      <c r="B33" s="25" t="n"/>
      <c r="C33" s="26" t="n"/>
      <c r="D33" s="26" t="n"/>
      <c r="E33" s="27" t="n"/>
      <c r="F33" s="26" t="n"/>
      <c r="G33" s="28" t="n"/>
      <c r="H33" s="27" t="n"/>
      <c r="I33" s="27" t="n"/>
      <c r="J33" s="27" t="n"/>
      <c r="K33" s="10">
        <f>IF(OR(E33="",I33=""),"",E33-I33)</f>
        <v/>
      </c>
      <c r="L33" s="10">
        <f>IF(OR(E33="",H33=""),"",E33-H33)</f>
        <v/>
      </c>
      <c r="M33" s="11">
        <f>IF(OR(E33="",E33=0,H33=""),"",H33/E33)</f>
        <v/>
      </c>
      <c r="N33" s="10">
        <f>IF(OR(E33="",J33=""),"",J33-E33)</f>
        <v/>
      </c>
      <c r="O33" s="26" t="n"/>
      <c r="P33" s="25" t="n"/>
    </row>
    <row r="34">
      <c r="A34" s="25" t="n"/>
      <c r="B34" s="25" t="n"/>
      <c r="C34" s="26" t="n"/>
      <c r="D34" s="26" t="n"/>
      <c r="E34" s="27" t="n"/>
      <c r="F34" s="26" t="n"/>
      <c r="G34" s="28" t="n"/>
      <c r="H34" s="27" t="n"/>
      <c r="I34" s="27" t="n"/>
      <c r="J34" s="27" t="n"/>
      <c r="K34" s="10">
        <f>IF(OR(E34="",I34=""),"",E34-I34)</f>
        <v/>
      </c>
      <c r="L34" s="10">
        <f>IF(OR(E34="",H34=""),"",E34-H34)</f>
        <v/>
      </c>
      <c r="M34" s="11">
        <f>IF(OR(E34="",E34=0,H34=""),"",H34/E34)</f>
        <v/>
      </c>
      <c r="N34" s="10">
        <f>IF(OR(E34="",J34=""),"",J34-E34)</f>
        <v/>
      </c>
      <c r="O34" s="26" t="n"/>
      <c r="P34" s="25" t="n"/>
    </row>
    <row r="35">
      <c r="A35" s="25" t="n"/>
      <c r="B35" s="25" t="n"/>
      <c r="C35" s="26" t="n"/>
      <c r="D35" s="26" t="n"/>
      <c r="E35" s="27" t="n"/>
      <c r="F35" s="26" t="n"/>
      <c r="G35" s="28" t="n"/>
      <c r="H35" s="27" t="n"/>
      <c r="I35" s="27" t="n"/>
      <c r="J35" s="27" t="n"/>
      <c r="K35" s="10">
        <f>IF(OR(E35="",I35=""),"",E35-I35)</f>
        <v/>
      </c>
      <c r="L35" s="10">
        <f>IF(OR(E35="",H35=""),"",E35-H35)</f>
        <v/>
      </c>
      <c r="M35" s="11">
        <f>IF(OR(E35="",E35=0,H35=""),"",H35/E35)</f>
        <v/>
      </c>
      <c r="N35" s="10">
        <f>IF(OR(E35="",J35=""),"",J35-E35)</f>
        <v/>
      </c>
      <c r="O35" s="26" t="n"/>
      <c r="P35" s="25" t="n"/>
    </row>
    <row r="36">
      <c r="A36" s="25" t="n"/>
      <c r="B36" s="25" t="n"/>
      <c r="C36" s="26" t="n"/>
      <c r="D36" s="26" t="n"/>
      <c r="E36" s="27" t="n"/>
      <c r="F36" s="26" t="n"/>
      <c r="G36" s="28" t="n"/>
      <c r="H36" s="27" t="n"/>
      <c r="I36" s="27" t="n"/>
      <c r="J36" s="27" t="n"/>
      <c r="K36" s="10">
        <f>IF(OR(E36="",I36=""),"",E36-I36)</f>
        <v/>
      </c>
      <c r="L36" s="10">
        <f>IF(OR(E36="",H36=""),"",E36-H36)</f>
        <v/>
      </c>
      <c r="M36" s="11">
        <f>IF(OR(E36="",E36=0,H36=""),"",H36/E36)</f>
        <v/>
      </c>
      <c r="N36" s="10">
        <f>IF(OR(E36="",J36=""),"",J36-E36)</f>
        <v/>
      </c>
      <c r="O36" s="26" t="n"/>
      <c r="P36" s="25" t="n"/>
    </row>
    <row r="37">
      <c r="A37" s="25" t="n"/>
      <c r="B37" s="25" t="n"/>
      <c r="C37" s="26" t="n"/>
      <c r="D37" s="26" t="n"/>
      <c r="E37" s="27" t="n"/>
      <c r="F37" s="26" t="n"/>
      <c r="G37" s="28" t="n"/>
      <c r="H37" s="27" t="n"/>
      <c r="I37" s="27" t="n"/>
      <c r="J37" s="27" t="n"/>
      <c r="K37" s="10">
        <f>IF(OR(E37="",I37=""),"",E37-I37)</f>
        <v/>
      </c>
      <c r="L37" s="10">
        <f>IF(OR(E37="",H37=""),"",E37-H37)</f>
        <v/>
      </c>
      <c r="M37" s="11">
        <f>IF(OR(E37="",E37=0,H37=""),"",H37/E37)</f>
        <v/>
      </c>
      <c r="N37" s="10">
        <f>IF(OR(E37="",J37=""),"",J37-E37)</f>
        <v/>
      </c>
      <c r="O37" s="26" t="n"/>
      <c r="P37" s="25" t="n"/>
    </row>
    <row r="38">
      <c r="A38" s="25" t="n"/>
      <c r="B38" s="25" t="n"/>
      <c r="C38" s="26" t="n"/>
      <c r="D38" s="26" t="n"/>
      <c r="E38" s="27" t="n"/>
      <c r="F38" s="26" t="n"/>
      <c r="G38" s="28" t="n"/>
      <c r="H38" s="27" t="n"/>
      <c r="I38" s="27" t="n"/>
      <c r="J38" s="27" t="n"/>
      <c r="K38" s="10">
        <f>IF(OR(E38="",I38=""),"",E38-I38)</f>
        <v/>
      </c>
      <c r="L38" s="10">
        <f>IF(OR(E38="",H38=""),"",E38-H38)</f>
        <v/>
      </c>
      <c r="M38" s="11">
        <f>IF(OR(E38="",E38=0,H38=""),"",H38/E38)</f>
        <v/>
      </c>
      <c r="N38" s="10">
        <f>IF(OR(E38="",J38=""),"",J38-E38)</f>
        <v/>
      </c>
      <c r="O38" s="26" t="n"/>
      <c r="P38" s="25" t="n"/>
    </row>
    <row r="39">
      <c r="A39" s="25" t="n"/>
      <c r="B39" s="25" t="n"/>
      <c r="C39" s="26" t="n"/>
      <c r="D39" s="26" t="n"/>
      <c r="E39" s="27" t="n"/>
      <c r="F39" s="26" t="n"/>
      <c r="G39" s="28" t="n"/>
      <c r="H39" s="27" t="n"/>
      <c r="I39" s="27" t="n"/>
      <c r="J39" s="27" t="n"/>
      <c r="K39" s="10">
        <f>IF(OR(E39="",I39=""),"",E39-I39)</f>
        <v/>
      </c>
      <c r="L39" s="10">
        <f>IF(OR(E39="",H39=""),"",E39-H39)</f>
        <v/>
      </c>
      <c r="M39" s="11">
        <f>IF(OR(E39="",E39=0,H39=""),"",H39/E39)</f>
        <v/>
      </c>
      <c r="N39" s="10">
        <f>IF(OR(E39="",J39=""),"",J39-E39)</f>
        <v/>
      </c>
      <c r="O39" s="26" t="n"/>
      <c r="P39" s="25" t="n"/>
    </row>
    <row r="40">
      <c r="A40" s="25" t="n"/>
      <c r="B40" s="25" t="n"/>
      <c r="C40" s="26" t="n"/>
      <c r="D40" s="26" t="n"/>
      <c r="E40" s="27" t="n"/>
      <c r="F40" s="26" t="n"/>
      <c r="G40" s="28" t="n"/>
      <c r="H40" s="27" t="n"/>
      <c r="I40" s="27" t="n"/>
      <c r="J40" s="27" t="n"/>
      <c r="K40" s="10">
        <f>IF(OR(E40="",I40=""),"",E40-I40)</f>
        <v/>
      </c>
      <c r="L40" s="10">
        <f>IF(OR(E40="",H40=""),"",E40-H40)</f>
        <v/>
      </c>
      <c r="M40" s="11">
        <f>IF(OR(E40="",E40=0,H40=""),"",H40/E40)</f>
        <v/>
      </c>
      <c r="N40" s="10">
        <f>IF(OR(E40="",J40=""),"",J40-E40)</f>
        <v/>
      </c>
      <c r="O40" s="26" t="n"/>
      <c r="P40" s="25" t="n"/>
    </row>
    <row r="41">
      <c r="A41" s="25" t="n"/>
      <c r="B41" s="25" t="n"/>
      <c r="C41" s="26" t="n"/>
      <c r="D41" s="26" t="n"/>
      <c r="E41" s="27" t="n"/>
      <c r="F41" s="26" t="n"/>
      <c r="G41" s="28" t="n"/>
      <c r="H41" s="27" t="n"/>
      <c r="I41" s="27" t="n"/>
      <c r="J41" s="27" t="n"/>
      <c r="K41" s="10">
        <f>IF(OR(E41="",I41=""),"",E41-I41)</f>
        <v/>
      </c>
      <c r="L41" s="10">
        <f>IF(OR(E41="",H41=""),"",E41-H41)</f>
        <v/>
      </c>
      <c r="M41" s="11">
        <f>IF(OR(E41="",E41=0,H41=""),"",H41/E41)</f>
        <v/>
      </c>
      <c r="N41" s="10">
        <f>IF(OR(E41="",J41=""),"",J41-E41)</f>
        <v/>
      </c>
      <c r="O41" s="26" t="n"/>
      <c r="P41" s="25" t="n"/>
    </row>
    <row r="42">
      <c r="A42" s="25" t="n"/>
      <c r="B42" s="25" t="n"/>
      <c r="C42" s="26" t="n"/>
      <c r="D42" s="26" t="n"/>
      <c r="E42" s="27" t="n"/>
      <c r="F42" s="26" t="n"/>
      <c r="G42" s="28" t="n"/>
      <c r="H42" s="27" t="n"/>
      <c r="I42" s="27" t="n"/>
      <c r="J42" s="27" t="n"/>
      <c r="K42" s="10">
        <f>IF(OR(E42="",I42=""),"",E42-I42)</f>
        <v/>
      </c>
      <c r="L42" s="10">
        <f>IF(OR(E42="",H42=""),"",E42-H42)</f>
        <v/>
      </c>
      <c r="M42" s="11">
        <f>IF(OR(E42="",E42=0,H42=""),"",H42/E42)</f>
        <v/>
      </c>
      <c r="N42" s="10">
        <f>IF(OR(E42="",J42=""),"",J42-E42)</f>
        <v/>
      </c>
      <c r="O42" s="26" t="n"/>
      <c r="P42" s="25" t="n"/>
    </row>
    <row r="43">
      <c r="A43" s="25" t="n"/>
      <c r="B43" s="25" t="n"/>
      <c r="C43" s="26" t="n"/>
      <c r="D43" s="26" t="n"/>
      <c r="E43" s="27" t="n"/>
      <c r="F43" s="26" t="n"/>
      <c r="G43" s="28" t="n"/>
      <c r="H43" s="27" t="n"/>
      <c r="I43" s="27" t="n"/>
      <c r="J43" s="27" t="n"/>
      <c r="K43" s="10">
        <f>IF(OR(E43="",I43=""),"",E43-I43)</f>
        <v/>
      </c>
      <c r="L43" s="10">
        <f>IF(OR(E43="",H43=""),"",E43-H43)</f>
        <v/>
      </c>
      <c r="M43" s="11">
        <f>IF(OR(E43="",E43=0,H43=""),"",H43/E43)</f>
        <v/>
      </c>
      <c r="N43" s="10">
        <f>IF(OR(E43="",J43=""),"",J43-E43)</f>
        <v/>
      </c>
      <c r="O43" s="26" t="n"/>
      <c r="P43" s="25" t="n"/>
    </row>
    <row r="44">
      <c r="A44" s="25" t="n"/>
      <c r="B44" s="25" t="n"/>
      <c r="C44" s="26" t="n"/>
      <c r="D44" s="26" t="n"/>
      <c r="E44" s="27" t="n"/>
      <c r="F44" s="26" t="n"/>
      <c r="G44" s="28" t="n"/>
      <c r="H44" s="27" t="n"/>
      <c r="I44" s="27" t="n"/>
      <c r="J44" s="27" t="n"/>
      <c r="K44" s="10">
        <f>IF(OR(E44="",I44=""),"",E44-I44)</f>
        <v/>
      </c>
      <c r="L44" s="10">
        <f>IF(OR(E44="",H44=""),"",E44-H44)</f>
        <v/>
      </c>
      <c r="M44" s="11">
        <f>IF(OR(E44="",E44=0,H44=""),"",H44/E44)</f>
        <v/>
      </c>
      <c r="N44" s="10">
        <f>IF(OR(E44="",J44=""),"",J44-E44)</f>
        <v/>
      </c>
      <c r="O44" s="26" t="n"/>
      <c r="P44" s="25" t="n"/>
    </row>
    <row r="45">
      <c r="A45" s="25" t="n"/>
      <c r="B45" s="25" t="n"/>
      <c r="C45" s="26" t="n"/>
      <c r="D45" s="26" t="n"/>
      <c r="E45" s="27" t="n"/>
      <c r="F45" s="26" t="n"/>
      <c r="G45" s="28" t="n"/>
      <c r="H45" s="27" t="n"/>
      <c r="I45" s="27" t="n"/>
      <c r="J45" s="27" t="n"/>
      <c r="K45" s="10">
        <f>IF(OR(E45="",I45=""),"",E45-I45)</f>
        <v/>
      </c>
      <c r="L45" s="10">
        <f>IF(OR(E45="",H45=""),"",E45-H45)</f>
        <v/>
      </c>
      <c r="M45" s="11">
        <f>IF(OR(E45="",E45=0,H45=""),"",H45/E45)</f>
        <v/>
      </c>
      <c r="N45" s="10">
        <f>IF(OR(E45="",J45=""),"",J45-E45)</f>
        <v/>
      </c>
      <c r="O45" s="26" t="n"/>
      <c r="P45" s="25" t="n"/>
    </row>
    <row r="46">
      <c r="A46" s="25" t="n"/>
      <c r="B46" s="25" t="n"/>
      <c r="C46" s="26" t="n"/>
      <c r="D46" s="26" t="n"/>
      <c r="E46" s="27" t="n"/>
      <c r="F46" s="26" t="n"/>
      <c r="G46" s="28" t="n"/>
      <c r="H46" s="27" t="n"/>
      <c r="I46" s="27" t="n"/>
      <c r="J46" s="27" t="n"/>
      <c r="K46" s="10">
        <f>IF(OR(E46="",I46=""),"",E46-I46)</f>
        <v/>
      </c>
      <c r="L46" s="10">
        <f>IF(OR(E46="",H46=""),"",E46-H46)</f>
        <v/>
      </c>
      <c r="M46" s="11">
        <f>IF(OR(E46="",E46=0,H46=""),"",H46/E46)</f>
        <v/>
      </c>
      <c r="N46" s="10">
        <f>IF(OR(E46="",J46=""),"",J46-E46)</f>
        <v/>
      </c>
      <c r="O46" s="26" t="n"/>
      <c r="P46" s="25" t="n"/>
    </row>
    <row r="47">
      <c r="A47" s="25" t="n"/>
      <c r="B47" s="25" t="n"/>
      <c r="C47" s="26" t="n"/>
      <c r="D47" s="26" t="n"/>
      <c r="E47" s="27" t="n"/>
      <c r="F47" s="26" t="n"/>
      <c r="G47" s="28" t="n"/>
      <c r="H47" s="27" t="n"/>
      <c r="I47" s="27" t="n"/>
      <c r="J47" s="27" t="n"/>
      <c r="K47" s="10">
        <f>IF(OR(E47="",I47=""),"",E47-I47)</f>
        <v/>
      </c>
      <c r="L47" s="10">
        <f>IF(OR(E47="",H47=""),"",E47-H47)</f>
        <v/>
      </c>
      <c r="M47" s="11">
        <f>IF(OR(E47="",E47=0,H47=""),"",H47/E47)</f>
        <v/>
      </c>
      <c r="N47" s="10">
        <f>IF(OR(E47="",J47=""),"",J47-E47)</f>
        <v/>
      </c>
      <c r="O47" s="26" t="n"/>
      <c r="P47" s="25" t="n"/>
    </row>
    <row r="48">
      <c r="A48" s="25" t="n"/>
      <c r="B48" s="25" t="n"/>
      <c r="C48" s="26" t="n"/>
      <c r="D48" s="26" t="n"/>
      <c r="E48" s="27" t="n"/>
      <c r="F48" s="26" t="n"/>
      <c r="G48" s="28" t="n"/>
      <c r="H48" s="27" t="n"/>
      <c r="I48" s="27" t="n"/>
      <c r="J48" s="27" t="n"/>
      <c r="K48" s="10">
        <f>IF(OR(E48="",I48=""),"",E48-I48)</f>
        <v/>
      </c>
      <c r="L48" s="10">
        <f>IF(OR(E48="",H48=""),"",E48-H48)</f>
        <v/>
      </c>
      <c r="M48" s="11">
        <f>IF(OR(E48="",E48=0,H48=""),"",H48/E48)</f>
        <v/>
      </c>
      <c r="N48" s="10">
        <f>IF(OR(E48="",J48=""),"",J48-E48)</f>
        <v/>
      </c>
      <c r="O48" s="26" t="n"/>
      <c r="P48" s="25" t="n"/>
    </row>
    <row r="49">
      <c r="A49" s="25" t="n"/>
      <c r="B49" s="25" t="n"/>
      <c r="C49" s="26" t="n"/>
      <c r="D49" s="26" t="n"/>
      <c r="E49" s="27" t="n"/>
      <c r="F49" s="26" t="n"/>
      <c r="G49" s="28" t="n"/>
      <c r="H49" s="27" t="n"/>
      <c r="I49" s="27" t="n"/>
      <c r="J49" s="27" t="n"/>
      <c r="K49" s="10">
        <f>IF(OR(E49="",I49=""),"",E49-I49)</f>
        <v/>
      </c>
      <c r="L49" s="10">
        <f>IF(OR(E49="",H49=""),"",E49-H49)</f>
        <v/>
      </c>
      <c r="M49" s="11">
        <f>IF(OR(E49="",E49=0,H49=""),"",H49/E49)</f>
        <v/>
      </c>
      <c r="N49" s="10">
        <f>IF(OR(E49="",J49=""),"",J49-E49)</f>
        <v/>
      </c>
      <c r="O49" s="26" t="n"/>
      <c r="P49" s="25" t="n"/>
    </row>
    <row r="50">
      <c r="A50" s="25" t="n"/>
      <c r="B50" s="25" t="n"/>
      <c r="C50" s="26" t="n"/>
      <c r="D50" s="26" t="n"/>
      <c r="E50" s="27" t="n"/>
      <c r="F50" s="26" t="n"/>
      <c r="G50" s="28" t="n"/>
      <c r="H50" s="27" t="n"/>
      <c r="I50" s="27" t="n"/>
      <c r="J50" s="27" t="n"/>
      <c r="K50" s="10">
        <f>IF(OR(E50="",I50=""),"",E50-I50)</f>
        <v/>
      </c>
      <c r="L50" s="10">
        <f>IF(OR(E50="",H50=""),"",E50-H50)</f>
        <v/>
      </c>
      <c r="M50" s="11">
        <f>IF(OR(E50="",E50=0,H50=""),"",H50/E50)</f>
        <v/>
      </c>
      <c r="N50" s="10">
        <f>IF(OR(E50="",J50=""),"",J50-E50)</f>
        <v/>
      </c>
      <c r="O50" s="26" t="n"/>
      <c r="P50" s="25" t="n"/>
    </row>
    <row r="51">
      <c r="A51" s="25" t="n"/>
      <c r="B51" s="25" t="n"/>
      <c r="C51" s="26" t="n"/>
      <c r="D51" s="26" t="n"/>
      <c r="E51" s="27" t="n"/>
      <c r="F51" s="26" t="n"/>
      <c r="G51" s="28" t="n"/>
      <c r="H51" s="27" t="n"/>
      <c r="I51" s="27" t="n"/>
      <c r="J51" s="27" t="n"/>
      <c r="K51" s="10">
        <f>IF(OR(E51="",I51=""),"",E51-I51)</f>
        <v/>
      </c>
      <c r="L51" s="10">
        <f>IF(OR(E51="",H51=""),"",E51-H51)</f>
        <v/>
      </c>
      <c r="M51" s="11">
        <f>IF(OR(E51="",E51=0,H51=""),"",H51/E51)</f>
        <v/>
      </c>
      <c r="N51" s="10">
        <f>IF(OR(E51="",J51=""),"",J51-E51)</f>
        <v/>
      </c>
      <c r="O51" s="26" t="n"/>
      <c r="P51" s="25" t="n"/>
    </row>
    <row r="52">
      <c r="A52" s="12" t="inlineStr">
        <is>
          <t>LOB TOTALS</t>
        </is>
      </c>
      <c r="B52" s="12" t="n"/>
      <c r="C52" s="12" t="n"/>
      <c r="D52" s="12" t="n"/>
      <c r="E52" s="13">
        <f>SUMIF(A12:A51,"&lt;&gt;",E12:E51)</f>
        <v/>
      </c>
      <c r="F52" s="12" t="n"/>
      <c r="G52" s="12" t="n"/>
      <c r="H52" s="13">
        <f>SUMIF(A12:A51,"&lt;&gt;",H12:H51)</f>
        <v/>
      </c>
      <c r="I52" s="13">
        <f>SUMIF(A12:A51,"&lt;&gt;",I12:I51)</f>
        <v/>
      </c>
      <c r="J52" s="13">
        <f>SUMIF(A12:A51,"&lt;&gt;",J12:J51)</f>
        <v/>
      </c>
      <c r="K52" s="13">
        <f>SUMIF(A12:A51,"&lt;&gt;",K12:K51)</f>
        <v/>
      </c>
      <c r="L52" s="13">
        <f>SUMIF(A12:A51,"&lt;&gt;",L12:L51)</f>
        <v/>
      </c>
      <c r="M52" s="14">
        <f>IF(OR(E52="",E52=0),"",H52/E52)</f>
        <v/>
      </c>
      <c r="N52" s="13">
        <f>SUMIF(A12:A51,"&lt;&gt;",N12:N51)</f>
        <v/>
      </c>
      <c r="O52" s="12" t="n"/>
      <c r="P52" s="12" t="n"/>
    </row>
    <row r="54">
      <c r="A54" s="29" t="inlineStr">
        <is>
          <t>Legend: Yellow = input  |  Green = formula  |  Grey = totals  |  Blue = LOB KPIs</t>
        </is>
      </c>
    </row>
  </sheetData>
  <autoFilter ref="A11:P51"/>
  <mergeCells count="4">
    <mergeCell ref="A6:P6"/>
    <mergeCell ref="A10:P10"/>
    <mergeCell ref="A1:P1"/>
    <mergeCell ref="A2:P2"/>
  </mergeCells>
  <conditionalFormatting sqref="M12:M51">
    <cfRule type="cellIs" priority="1" operator="greaterThan" dxfId="0">
      <formula>0.9</formula>
    </cfRule>
  </conditionalFormatting>
  <conditionalFormatting sqref="N12:N51">
    <cfRule type="cellIs" priority="2" operator="greaterThan" dxfId="0">
      <formula>0</formula>
    </cfRule>
  </conditionalFormatting>
  <conditionalFormatting sqref="L7">
    <cfRule type="cellIs" priority="3" operator="greaterThan" dxfId="0">
      <formula>0.9</formula>
    </cfRule>
  </conditionalFormatting>
  <conditionalFormatting sqref="N7">
    <cfRule type="cellIs" priority="4" operator="greaterThan" dxfId="0">
      <formula>0</formula>
    </cfRule>
  </conditionalFormatting>
  <dataValidations count="3">
    <dataValidation sqref="C12:C51" showDropDown="0" showInputMessage="0" showErrorMessage="0" allowBlank="1" type="list">
      <formula1>"Contractor,Permanent FTEs,Tooling,Infrastructure,Professional services,Travel,Other"</formula1>
    </dataValidation>
    <dataValidation sqref="O12:O51" showDropDown="0" showInputMessage="0" showErrorMessage="0" allowBlank="1" type="list">
      <formula1>"On track,At risk,Overspent,Not started,Closed"</formula1>
    </dataValidation>
    <dataValidation sqref="F4" showDropDown="0" showInputMessage="0" showErrorMessage="0" allowBlank="1" type="list">
      <formula1>"FY25,FY26,FY27,FY26 H1,FY26 H2,FY26 Q1,FY26 Q2,FY26 Q3,FY26 Q4"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22" customWidth="1" min="2" max="2"/>
    <col width="14" customWidth="1" min="3" max="3"/>
    <col width="20" customWidth="1" min="4" max="4"/>
    <col width="16" customWidth="1" min="5" max="5"/>
    <col width="18" customWidth="1" min="6" max="6"/>
    <col width="13" customWidth="1" min="7" max="7"/>
    <col width="14" customWidth="1" min="8" max="8"/>
    <col width="12" customWidth="1" min="9" max="9"/>
    <col width="14" customWidth="1" min="10" max="10"/>
    <col width="12" customWidth="1" min="11" max="11"/>
    <col width="12" customWidth="1" min="12" max="12"/>
    <col width="10" customWidth="1" min="13" max="13"/>
    <col width="14" customWidth="1" min="14" max="14"/>
    <col width="12" customWidth="1" min="15" max="15"/>
    <col width="24" customWidth="1" min="16" max="16"/>
  </cols>
  <sheetData>
    <row r="1" ht="28" customHeight="1">
      <c r="A1" s="18" t="inlineStr">
        <is>
          <t>LOB Budget View — Practice</t>
        </is>
      </c>
    </row>
    <row r="2">
      <c r="A2" s="4" t="inlineStr">
        <is>
          <t>Per-LOB consolidated view. Yellow = enter. Green = calculated. One row per project / workstream in this LOB. Cross-LOB Summary rolls these sheets up.</t>
        </is>
      </c>
    </row>
    <row r="4">
      <c r="A4" s="19" t="inlineStr">
        <is>
          <t>LOB</t>
        </is>
      </c>
      <c r="B4" s="6" t="inlineStr">
        <is>
          <t>Practice</t>
        </is>
      </c>
      <c r="C4" s="19" t="inlineStr">
        <is>
          <t>Primary HOE</t>
        </is>
      </c>
      <c r="D4" s="6" t="inlineStr"/>
      <c r="E4" s="19" t="inlineStr">
        <is>
          <t>FY / Period</t>
        </is>
      </c>
      <c r="F4" s="6" t="inlineStr">
        <is>
          <t>FY26</t>
        </is>
      </c>
      <c r="G4" s="19" t="inlineStr">
        <is>
          <t>Currency</t>
        </is>
      </c>
      <c r="H4" s="6" t="inlineStr">
        <is>
          <t>AUD</t>
        </is>
      </c>
      <c r="I4" s="19" t="inlineStr">
        <is>
          <t>Last updated</t>
        </is>
      </c>
      <c r="J4" s="20" t="inlineStr">
        <is>
          <t>2026-10-06</t>
        </is>
      </c>
    </row>
    <row r="6">
      <c r="A6" s="15" t="inlineStr">
        <is>
          <t>LOB SUMMARY (auto from detail below)</t>
        </is>
      </c>
    </row>
    <row r="7">
      <c r="A7" s="21" t="inlineStr"/>
      <c r="B7" s="22">
        <f>SUMIF(A12:A51,"&lt;&gt;",E12:E51)</f>
        <v/>
      </c>
      <c r="C7" s="21" t="inlineStr"/>
      <c r="D7" s="22">
        <f>SUMIF(A12:A51,"&lt;&gt;",H12:H51)</f>
        <v/>
      </c>
      <c r="E7" s="21" t="inlineStr"/>
      <c r="F7" s="22">
        <f>SUMIF(A12:A51,"&lt;&gt;",I12:I51)</f>
        <v/>
      </c>
      <c r="G7" s="21" t="inlineStr"/>
      <c r="H7" s="22">
        <f>SUMIF(A12:A51,"&lt;&gt;",J12:J51)</f>
        <v/>
      </c>
      <c r="I7" s="21" t="inlineStr"/>
      <c r="J7" s="22">
        <f>IF(B7="","",B7-D7)</f>
        <v/>
      </c>
      <c r="K7" s="21" t="inlineStr"/>
      <c r="L7" s="23">
        <f>IF(OR(B7="",B7=0),"",D7/B7)</f>
        <v/>
      </c>
      <c r="M7" s="21" t="inlineStr"/>
      <c r="N7" s="22">
        <f>IF(OR(B7="",H7=""),"",H7-B7)</f>
        <v/>
      </c>
    </row>
    <row r="8">
      <c r="A8" s="24" t="inlineStr">
        <is>
          <t>Total Approved</t>
        </is>
      </c>
      <c r="B8" s="21" t="inlineStr"/>
      <c r="C8" s="24" t="inlineStr">
        <is>
          <t>Total Spent</t>
        </is>
      </c>
      <c r="D8" s="21" t="inlineStr"/>
      <c r="E8" s="24" t="inlineStr">
        <is>
          <t>Unallocated</t>
        </is>
      </c>
      <c r="F8" s="21" t="inlineStr"/>
      <c r="G8" s="24" t="inlineStr">
        <is>
          <t>Forecasted Spend</t>
        </is>
      </c>
      <c r="H8" s="21" t="inlineStr"/>
      <c r="I8" s="24" t="inlineStr">
        <is>
          <t>Remaining</t>
        </is>
      </c>
      <c r="J8" s="21" t="inlineStr"/>
      <c r="K8" s="24" t="inlineStr">
        <is>
          <t>% of Approved Spent</t>
        </is>
      </c>
      <c r="L8" s="21" t="inlineStr"/>
      <c r="M8" s="24" t="inlineStr">
        <is>
          <t>Forecast vs Approved</t>
        </is>
      </c>
      <c r="N8" s="21" t="inlineStr"/>
    </row>
    <row r="10">
      <c r="A10" s="4" t="inlineStr">
        <is>
          <t>Detail by project (enter below). Use filter on Managed by (HOE) to focus one HOE.</t>
        </is>
      </c>
    </row>
    <row r="11" ht="34" customHeight="1">
      <c r="A11" s="5" t="inlineStr">
        <is>
          <t>Project / Workstream</t>
        </is>
      </c>
      <c r="B11" s="5" t="inlineStr">
        <is>
          <t>Initiative / Cost centre</t>
        </is>
      </c>
      <c r="C11" s="5" t="inlineStr">
        <is>
          <t>Cost category</t>
        </is>
      </c>
      <c r="D11" s="5" t="inlineStr">
        <is>
          <t>Managed by (HOE)</t>
        </is>
      </c>
      <c r="E11" s="5" t="inlineStr">
        <is>
          <t>Total Budget Approved</t>
        </is>
      </c>
      <c r="F11" s="5" t="inlineStr">
        <is>
          <t>Approved By</t>
        </is>
      </c>
      <c r="G11" s="5" t="inlineStr">
        <is>
          <t>Approval Date</t>
        </is>
      </c>
      <c r="H11" s="5" t="inlineStr">
        <is>
          <t>Spent (Actual)</t>
        </is>
      </c>
      <c r="I11" s="5" t="inlineStr">
        <is>
          <t>Unallocated</t>
        </is>
      </c>
      <c r="J11" s="5" t="inlineStr">
        <is>
          <t>Forecasted Spend</t>
        </is>
      </c>
      <c r="K11" s="5" t="inlineStr">
        <is>
          <t>Allocated</t>
        </is>
      </c>
      <c r="L11" s="5" t="inlineStr">
        <is>
          <t>Remaining</t>
        </is>
      </c>
      <c r="M11" s="5" t="inlineStr">
        <is>
          <t>% Spent</t>
        </is>
      </c>
      <c r="N11" s="5" t="inlineStr">
        <is>
          <t>Forecast vs Approved</t>
        </is>
      </c>
      <c r="O11" s="5" t="inlineStr">
        <is>
          <t>Status</t>
        </is>
      </c>
      <c r="P11" s="5" t="inlineStr">
        <is>
          <t>Notes</t>
        </is>
      </c>
    </row>
    <row r="12">
      <c r="A12" s="25" t="n"/>
      <c r="B12" s="25" t="n"/>
      <c r="C12" s="26" t="n"/>
      <c r="D12" s="26" t="n"/>
      <c r="E12" s="27" t="n"/>
      <c r="F12" s="26" t="n"/>
      <c r="G12" s="28" t="n"/>
      <c r="H12" s="27" t="n"/>
      <c r="I12" s="27" t="n"/>
      <c r="J12" s="27" t="n"/>
      <c r="K12" s="10">
        <f>IF(OR(E12="",I12=""),"",E12-I12)</f>
        <v/>
      </c>
      <c r="L12" s="10">
        <f>IF(OR(E12="",H12=""),"",E12-H12)</f>
        <v/>
      </c>
      <c r="M12" s="11">
        <f>IF(OR(E12="",E12=0,H12=""),"",H12/E12)</f>
        <v/>
      </c>
      <c r="N12" s="10">
        <f>IF(OR(E12="",J12=""),"",J12-E12)</f>
        <v/>
      </c>
      <c r="O12" s="26" t="n"/>
      <c r="P12" s="25" t="n"/>
    </row>
    <row r="13">
      <c r="A13" s="25" t="n"/>
      <c r="B13" s="25" t="n"/>
      <c r="C13" s="26" t="n"/>
      <c r="D13" s="26" t="n"/>
      <c r="E13" s="27" t="n"/>
      <c r="F13" s="26" t="n"/>
      <c r="G13" s="28" t="n"/>
      <c r="H13" s="27" t="n"/>
      <c r="I13" s="27" t="n"/>
      <c r="J13" s="27" t="n"/>
      <c r="K13" s="10">
        <f>IF(OR(E13="",I13=""),"",E13-I13)</f>
        <v/>
      </c>
      <c r="L13" s="10">
        <f>IF(OR(E13="",H13=""),"",E13-H13)</f>
        <v/>
      </c>
      <c r="M13" s="11">
        <f>IF(OR(E13="",E13=0,H13=""),"",H13/E13)</f>
        <v/>
      </c>
      <c r="N13" s="10">
        <f>IF(OR(E13="",J13=""),"",J13-E13)</f>
        <v/>
      </c>
      <c r="O13" s="26" t="n"/>
      <c r="P13" s="25" t="n"/>
    </row>
    <row r="14">
      <c r="A14" s="25" t="n"/>
      <c r="B14" s="25" t="n"/>
      <c r="C14" s="26" t="n"/>
      <c r="D14" s="26" t="n"/>
      <c r="E14" s="27" t="n"/>
      <c r="F14" s="26" t="n"/>
      <c r="G14" s="28" t="n"/>
      <c r="H14" s="27" t="n"/>
      <c r="I14" s="27" t="n"/>
      <c r="J14" s="27" t="n"/>
      <c r="K14" s="10">
        <f>IF(OR(E14="",I14=""),"",E14-I14)</f>
        <v/>
      </c>
      <c r="L14" s="10">
        <f>IF(OR(E14="",H14=""),"",E14-H14)</f>
        <v/>
      </c>
      <c r="M14" s="11">
        <f>IF(OR(E14="",E14=0,H14=""),"",H14/E14)</f>
        <v/>
      </c>
      <c r="N14" s="10">
        <f>IF(OR(E14="",J14=""),"",J14-E14)</f>
        <v/>
      </c>
      <c r="O14" s="26" t="n"/>
      <c r="P14" s="25" t="n"/>
    </row>
    <row r="15">
      <c r="A15" s="25" t="n"/>
      <c r="B15" s="25" t="n"/>
      <c r="C15" s="26" t="n"/>
      <c r="D15" s="26" t="n"/>
      <c r="E15" s="27" t="n"/>
      <c r="F15" s="26" t="n"/>
      <c r="G15" s="28" t="n"/>
      <c r="H15" s="27" t="n"/>
      <c r="I15" s="27" t="n"/>
      <c r="J15" s="27" t="n"/>
      <c r="K15" s="10">
        <f>IF(OR(E15="",I15=""),"",E15-I15)</f>
        <v/>
      </c>
      <c r="L15" s="10">
        <f>IF(OR(E15="",H15=""),"",E15-H15)</f>
        <v/>
      </c>
      <c r="M15" s="11">
        <f>IF(OR(E15="",E15=0,H15=""),"",H15/E15)</f>
        <v/>
      </c>
      <c r="N15" s="10">
        <f>IF(OR(E15="",J15=""),"",J15-E15)</f>
        <v/>
      </c>
      <c r="O15" s="26" t="n"/>
      <c r="P15" s="25" t="n"/>
    </row>
    <row r="16">
      <c r="A16" s="25" t="n"/>
      <c r="B16" s="25" t="n"/>
      <c r="C16" s="26" t="n"/>
      <c r="D16" s="26" t="n"/>
      <c r="E16" s="27" t="n"/>
      <c r="F16" s="26" t="n"/>
      <c r="G16" s="28" t="n"/>
      <c r="H16" s="27" t="n"/>
      <c r="I16" s="27" t="n"/>
      <c r="J16" s="27" t="n"/>
      <c r="K16" s="10">
        <f>IF(OR(E16="",I16=""),"",E16-I16)</f>
        <v/>
      </c>
      <c r="L16" s="10">
        <f>IF(OR(E16="",H16=""),"",E16-H16)</f>
        <v/>
      </c>
      <c r="M16" s="11">
        <f>IF(OR(E16="",E16=0,H16=""),"",H16/E16)</f>
        <v/>
      </c>
      <c r="N16" s="10">
        <f>IF(OR(E16="",J16=""),"",J16-E16)</f>
        <v/>
      </c>
      <c r="O16" s="26" t="n"/>
      <c r="P16" s="25" t="n"/>
    </row>
    <row r="17">
      <c r="A17" s="25" t="n"/>
      <c r="B17" s="25" t="n"/>
      <c r="C17" s="26" t="n"/>
      <c r="D17" s="26" t="n"/>
      <c r="E17" s="27" t="n"/>
      <c r="F17" s="26" t="n"/>
      <c r="G17" s="28" t="n"/>
      <c r="H17" s="27" t="n"/>
      <c r="I17" s="27" t="n"/>
      <c r="J17" s="27" t="n"/>
      <c r="K17" s="10">
        <f>IF(OR(E17="",I17=""),"",E17-I17)</f>
        <v/>
      </c>
      <c r="L17" s="10">
        <f>IF(OR(E17="",H17=""),"",E17-H17)</f>
        <v/>
      </c>
      <c r="M17" s="11">
        <f>IF(OR(E17="",E17=0,H17=""),"",H17/E17)</f>
        <v/>
      </c>
      <c r="N17" s="10">
        <f>IF(OR(E17="",J17=""),"",J17-E17)</f>
        <v/>
      </c>
      <c r="O17" s="26" t="n"/>
      <c r="P17" s="25" t="n"/>
    </row>
    <row r="18">
      <c r="A18" s="25" t="n"/>
      <c r="B18" s="25" t="n"/>
      <c r="C18" s="26" t="n"/>
      <c r="D18" s="26" t="n"/>
      <c r="E18" s="27" t="n"/>
      <c r="F18" s="26" t="n"/>
      <c r="G18" s="28" t="n"/>
      <c r="H18" s="27" t="n"/>
      <c r="I18" s="27" t="n"/>
      <c r="J18" s="27" t="n"/>
      <c r="K18" s="10">
        <f>IF(OR(E18="",I18=""),"",E18-I18)</f>
        <v/>
      </c>
      <c r="L18" s="10">
        <f>IF(OR(E18="",H18=""),"",E18-H18)</f>
        <v/>
      </c>
      <c r="M18" s="11">
        <f>IF(OR(E18="",E18=0,H18=""),"",H18/E18)</f>
        <v/>
      </c>
      <c r="N18" s="10">
        <f>IF(OR(E18="",J18=""),"",J18-E18)</f>
        <v/>
      </c>
      <c r="O18" s="26" t="n"/>
      <c r="P18" s="25" t="n"/>
    </row>
    <row r="19">
      <c r="A19" s="25" t="n"/>
      <c r="B19" s="25" t="n"/>
      <c r="C19" s="26" t="n"/>
      <c r="D19" s="26" t="n"/>
      <c r="E19" s="27" t="n"/>
      <c r="F19" s="26" t="n"/>
      <c r="G19" s="28" t="n"/>
      <c r="H19" s="27" t="n"/>
      <c r="I19" s="27" t="n"/>
      <c r="J19" s="27" t="n"/>
      <c r="K19" s="10">
        <f>IF(OR(E19="",I19=""),"",E19-I19)</f>
        <v/>
      </c>
      <c r="L19" s="10">
        <f>IF(OR(E19="",H19=""),"",E19-H19)</f>
        <v/>
      </c>
      <c r="M19" s="11">
        <f>IF(OR(E19="",E19=0,H19=""),"",H19/E19)</f>
        <v/>
      </c>
      <c r="N19" s="10">
        <f>IF(OR(E19="",J19=""),"",J19-E19)</f>
        <v/>
      </c>
      <c r="O19" s="26" t="n"/>
      <c r="P19" s="25" t="n"/>
    </row>
    <row r="20">
      <c r="A20" s="25" t="n"/>
      <c r="B20" s="25" t="n"/>
      <c r="C20" s="26" t="n"/>
      <c r="D20" s="26" t="n"/>
      <c r="E20" s="27" t="n"/>
      <c r="F20" s="26" t="n"/>
      <c r="G20" s="28" t="n"/>
      <c r="H20" s="27" t="n"/>
      <c r="I20" s="27" t="n"/>
      <c r="J20" s="27" t="n"/>
      <c r="K20" s="10">
        <f>IF(OR(E20="",I20=""),"",E20-I20)</f>
        <v/>
      </c>
      <c r="L20" s="10">
        <f>IF(OR(E20="",H20=""),"",E20-H20)</f>
        <v/>
      </c>
      <c r="M20" s="11">
        <f>IF(OR(E20="",E20=0,H20=""),"",H20/E20)</f>
        <v/>
      </c>
      <c r="N20" s="10">
        <f>IF(OR(E20="",J20=""),"",J20-E20)</f>
        <v/>
      </c>
      <c r="O20" s="26" t="n"/>
      <c r="P20" s="25" t="n"/>
    </row>
    <row r="21">
      <c r="A21" s="25" t="n"/>
      <c r="B21" s="25" t="n"/>
      <c r="C21" s="26" t="n"/>
      <c r="D21" s="26" t="n"/>
      <c r="E21" s="27" t="n"/>
      <c r="F21" s="26" t="n"/>
      <c r="G21" s="28" t="n"/>
      <c r="H21" s="27" t="n"/>
      <c r="I21" s="27" t="n"/>
      <c r="J21" s="27" t="n"/>
      <c r="K21" s="10">
        <f>IF(OR(E21="",I21=""),"",E21-I21)</f>
        <v/>
      </c>
      <c r="L21" s="10">
        <f>IF(OR(E21="",H21=""),"",E21-H21)</f>
        <v/>
      </c>
      <c r="M21" s="11">
        <f>IF(OR(E21="",E21=0,H21=""),"",H21/E21)</f>
        <v/>
      </c>
      <c r="N21" s="10">
        <f>IF(OR(E21="",J21=""),"",J21-E21)</f>
        <v/>
      </c>
      <c r="O21" s="26" t="n"/>
      <c r="P21" s="25" t="n"/>
    </row>
    <row r="22">
      <c r="A22" s="25" t="n"/>
      <c r="B22" s="25" t="n"/>
      <c r="C22" s="26" t="n"/>
      <c r="D22" s="26" t="n"/>
      <c r="E22" s="27" t="n"/>
      <c r="F22" s="26" t="n"/>
      <c r="G22" s="28" t="n"/>
      <c r="H22" s="27" t="n"/>
      <c r="I22" s="27" t="n"/>
      <c r="J22" s="27" t="n"/>
      <c r="K22" s="10">
        <f>IF(OR(E22="",I22=""),"",E22-I22)</f>
        <v/>
      </c>
      <c r="L22" s="10">
        <f>IF(OR(E22="",H22=""),"",E22-H22)</f>
        <v/>
      </c>
      <c r="M22" s="11">
        <f>IF(OR(E22="",E22=0,H22=""),"",H22/E22)</f>
        <v/>
      </c>
      <c r="N22" s="10">
        <f>IF(OR(E22="",J22=""),"",J22-E22)</f>
        <v/>
      </c>
      <c r="O22" s="26" t="n"/>
      <c r="P22" s="25" t="n"/>
    </row>
    <row r="23">
      <c r="A23" s="25" t="n"/>
      <c r="B23" s="25" t="n"/>
      <c r="C23" s="26" t="n"/>
      <c r="D23" s="26" t="n"/>
      <c r="E23" s="27" t="n"/>
      <c r="F23" s="26" t="n"/>
      <c r="G23" s="28" t="n"/>
      <c r="H23" s="27" t="n"/>
      <c r="I23" s="27" t="n"/>
      <c r="J23" s="27" t="n"/>
      <c r="K23" s="10">
        <f>IF(OR(E23="",I23=""),"",E23-I23)</f>
        <v/>
      </c>
      <c r="L23" s="10">
        <f>IF(OR(E23="",H23=""),"",E23-H23)</f>
        <v/>
      </c>
      <c r="M23" s="11">
        <f>IF(OR(E23="",E23=0,H23=""),"",H23/E23)</f>
        <v/>
      </c>
      <c r="N23" s="10">
        <f>IF(OR(E23="",J23=""),"",J23-E23)</f>
        <v/>
      </c>
      <c r="O23" s="26" t="n"/>
      <c r="P23" s="25" t="n"/>
    </row>
    <row r="24">
      <c r="A24" s="25" t="n"/>
      <c r="B24" s="25" t="n"/>
      <c r="C24" s="26" t="n"/>
      <c r="D24" s="26" t="n"/>
      <c r="E24" s="27" t="n"/>
      <c r="F24" s="26" t="n"/>
      <c r="G24" s="28" t="n"/>
      <c r="H24" s="27" t="n"/>
      <c r="I24" s="27" t="n"/>
      <c r="J24" s="27" t="n"/>
      <c r="K24" s="10">
        <f>IF(OR(E24="",I24=""),"",E24-I24)</f>
        <v/>
      </c>
      <c r="L24" s="10">
        <f>IF(OR(E24="",H24=""),"",E24-H24)</f>
        <v/>
      </c>
      <c r="M24" s="11">
        <f>IF(OR(E24="",E24=0,H24=""),"",H24/E24)</f>
        <v/>
      </c>
      <c r="N24" s="10">
        <f>IF(OR(E24="",J24=""),"",J24-E24)</f>
        <v/>
      </c>
      <c r="O24" s="26" t="n"/>
      <c r="P24" s="25" t="n"/>
    </row>
    <row r="25">
      <c r="A25" s="25" t="n"/>
      <c r="B25" s="25" t="n"/>
      <c r="C25" s="26" t="n"/>
      <c r="D25" s="26" t="n"/>
      <c r="E25" s="27" t="n"/>
      <c r="F25" s="26" t="n"/>
      <c r="G25" s="28" t="n"/>
      <c r="H25" s="27" t="n"/>
      <c r="I25" s="27" t="n"/>
      <c r="J25" s="27" t="n"/>
      <c r="K25" s="10">
        <f>IF(OR(E25="",I25=""),"",E25-I25)</f>
        <v/>
      </c>
      <c r="L25" s="10">
        <f>IF(OR(E25="",H25=""),"",E25-H25)</f>
        <v/>
      </c>
      <c r="M25" s="11">
        <f>IF(OR(E25="",E25=0,H25=""),"",H25/E25)</f>
        <v/>
      </c>
      <c r="N25" s="10">
        <f>IF(OR(E25="",J25=""),"",J25-E25)</f>
        <v/>
      </c>
      <c r="O25" s="26" t="n"/>
      <c r="P25" s="25" t="n"/>
    </row>
    <row r="26">
      <c r="A26" s="25" t="n"/>
      <c r="B26" s="25" t="n"/>
      <c r="C26" s="26" t="n"/>
      <c r="D26" s="26" t="n"/>
      <c r="E26" s="27" t="n"/>
      <c r="F26" s="26" t="n"/>
      <c r="G26" s="28" t="n"/>
      <c r="H26" s="27" t="n"/>
      <c r="I26" s="27" t="n"/>
      <c r="J26" s="27" t="n"/>
      <c r="K26" s="10">
        <f>IF(OR(E26="",I26=""),"",E26-I26)</f>
        <v/>
      </c>
      <c r="L26" s="10">
        <f>IF(OR(E26="",H26=""),"",E26-H26)</f>
        <v/>
      </c>
      <c r="M26" s="11">
        <f>IF(OR(E26="",E26=0,H26=""),"",H26/E26)</f>
        <v/>
      </c>
      <c r="N26" s="10">
        <f>IF(OR(E26="",J26=""),"",J26-E26)</f>
        <v/>
      </c>
      <c r="O26" s="26" t="n"/>
      <c r="P26" s="25" t="n"/>
    </row>
    <row r="27">
      <c r="A27" s="25" t="n"/>
      <c r="B27" s="25" t="n"/>
      <c r="C27" s="26" t="n"/>
      <c r="D27" s="26" t="n"/>
      <c r="E27" s="27" t="n"/>
      <c r="F27" s="26" t="n"/>
      <c r="G27" s="28" t="n"/>
      <c r="H27" s="27" t="n"/>
      <c r="I27" s="27" t="n"/>
      <c r="J27" s="27" t="n"/>
      <c r="K27" s="10">
        <f>IF(OR(E27="",I27=""),"",E27-I27)</f>
        <v/>
      </c>
      <c r="L27" s="10">
        <f>IF(OR(E27="",H27=""),"",E27-H27)</f>
        <v/>
      </c>
      <c r="M27" s="11">
        <f>IF(OR(E27="",E27=0,H27=""),"",H27/E27)</f>
        <v/>
      </c>
      <c r="N27" s="10">
        <f>IF(OR(E27="",J27=""),"",J27-E27)</f>
        <v/>
      </c>
      <c r="O27" s="26" t="n"/>
      <c r="P27" s="25" t="n"/>
    </row>
    <row r="28">
      <c r="A28" s="25" t="n"/>
      <c r="B28" s="25" t="n"/>
      <c r="C28" s="26" t="n"/>
      <c r="D28" s="26" t="n"/>
      <c r="E28" s="27" t="n"/>
      <c r="F28" s="26" t="n"/>
      <c r="G28" s="28" t="n"/>
      <c r="H28" s="27" t="n"/>
      <c r="I28" s="27" t="n"/>
      <c r="J28" s="27" t="n"/>
      <c r="K28" s="10">
        <f>IF(OR(E28="",I28=""),"",E28-I28)</f>
        <v/>
      </c>
      <c r="L28" s="10">
        <f>IF(OR(E28="",H28=""),"",E28-H28)</f>
        <v/>
      </c>
      <c r="M28" s="11">
        <f>IF(OR(E28="",E28=0,H28=""),"",H28/E28)</f>
        <v/>
      </c>
      <c r="N28" s="10">
        <f>IF(OR(E28="",J28=""),"",J28-E28)</f>
        <v/>
      </c>
      <c r="O28" s="26" t="n"/>
      <c r="P28" s="25" t="n"/>
    </row>
    <row r="29">
      <c r="A29" s="25" t="n"/>
      <c r="B29" s="25" t="n"/>
      <c r="C29" s="26" t="n"/>
      <c r="D29" s="26" t="n"/>
      <c r="E29" s="27" t="n"/>
      <c r="F29" s="26" t="n"/>
      <c r="G29" s="28" t="n"/>
      <c r="H29" s="27" t="n"/>
      <c r="I29" s="27" t="n"/>
      <c r="J29" s="27" t="n"/>
      <c r="K29" s="10">
        <f>IF(OR(E29="",I29=""),"",E29-I29)</f>
        <v/>
      </c>
      <c r="L29" s="10">
        <f>IF(OR(E29="",H29=""),"",E29-H29)</f>
        <v/>
      </c>
      <c r="M29" s="11">
        <f>IF(OR(E29="",E29=0,H29=""),"",H29/E29)</f>
        <v/>
      </c>
      <c r="N29" s="10">
        <f>IF(OR(E29="",J29=""),"",J29-E29)</f>
        <v/>
      </c>
      <c r="O29" s="26" t="n"/>
      <c r="P29" s="25" t="n"/>
    </row>
    <row r="30">
      <c r="A30" s="25" t="n"/>
      <c r="B30" s="25" t="n"/>
      <c r="C30" s="26" t="n"/>
      <c r="D30" s="26" t="n"/>
      <c r="E30" s="27" t="n"/>
      <c r="F30" s="26" t="n"/>
      <c r="G30" s="28" t="n"/>
      <c r="H30" s="27" t="n"/>
      <c r="I30" s="27" t="n"/>
      <c r="J30" s="27" t="n"/>
      <c r="K30" s="10">
        <f>IF(OR(E30="",I30=""),"",E30-I30)</f>
        <v/>
      </c>
      <c r="L30" s="10">
        <f>IF(OR(E30="",H30=""),"",E30-H30)</f>
        <v/>
      </c>
      <c r="M30" s="11">
        <f>IF(OR(E30="",E30=0,H30=""),"",H30/E30)</f>
        <v/>
      </c>
      <c r="N30" s="10">
        <f>IF(OR(E30="",J30=""),"",J30-E30)</f>
        <v/>
      </c>
      <c r="O30" s="26" t="n"/>
      <c r="P30" s="25" t="n"/>
    </row>
    <row r="31">
      <c r="A31" s="25" t="n"/>
      <c r="B31" s="25" t="n"/>
      <c r="C31" s="26" t="n"/>
      <c r="D31" s="26" t="n"/>
      <c r="E31" s="27" t="n"/>
      <c r="F31" s="26" t="n"/>
      <c r="G31" s="28" t="n"/>
      <c r="H31" s="27" t="n"/>
      <c r="I31" s="27" t="n"/>
      <c r="J31" s="27" t="n"/>
      <c r="K31" s="10">
        <f>IF(OR(E31="",I31=""),"",E31-I31)</f>
        <v/>
      </c>
      <c r="L31" s="10">
        <f>IF(OR(E31="",H31=""),"",E31-H31)</f>
        <v/>
      </c>
      <c r="M31" s="11">
        <f>IF(OR(E31="",E31=0,H31=""),"",H31/E31)</f>
        <v/>
      </c>
      <c r="N31" s="10">
        <f>IF(OR(E31="",J31=""),"",J31-E31)</f>
        <v/>
      </c>
      <c r="O31" s="26" t="n"/>
      <c r="P31" s="25" t="n"/>
    </row>
    <row r="32">
      <c r="A32" s="25" t="n"/>
      <c r="B32" s="25" t="n"/>
      <c r="C32" s="26" t="n"/>
      <c r="D32" s="26" t="n"/>
      <c r="E32" s="27" t="n"/>
      <c r="F32" s="26" t="n"/>
      <c r="G32" s="28" t="n"/>
      <c r="H32" s="27" t="n"/>
      <c r="I32" s="27" t="n"/>
      <c r="J32" s="27" t="n"/>
      <c r="K32" s="10">
        <f>IF(OR(E32="",I32=""),"",E32-I32)</f>
        <v/>
      </c>
      <c r="L32" s="10">
        <f>IF(OR(E32="",H32=""),"",E32-H32)</f>
        <v/>
      </c>
      <c r="M32" s="11">
        <f>IF(OR(E32="",E32=0,H32=""),"",H32/E32)</f>
        <v/>
      </c>
      <c r="N32" s="10">
        <f>IF(OR(E32="",J32=""),"",J32-E32)</f>
        <v/>
      </c>
      <c r="O32" s="26" t="n"/>
      <c r="P32" s="25" t="n"/>
    </row>
    <row r="33">
      <c r="A33" s="25" t="n"/>
      <c r="B33" s="25" t="n"/>
      <c r="C33" s="26" t="n"/>
      <c r="D33" s="26" t="n"/>
      <c r="E33" s="27" t="n"/>
      <c r="F33" s="26" t="n"/>
      <c r="G33" s="28" t="n"/>
      <c r="H33" s="27" t="n"/>
      <c r="I33" s="27" t="n"/>
      <c r="J33" s="27" t="n"/>
      <c r="K33" s="10">
        <f>IF(OR(E33="",I33=""),"",E33-I33)</f>
        <v/>
      </c>
      <c r="L33" s="10">
        <f>IF(OR(E33="",H33=""),"",E33-H33)</f>
        <v/>
      </c>
      <c r="M33" s="11">
        <f>IF(OR(E33="",E33=0,H33=""),"",H33/E33)</f>
        <v/>
      </c>
      <c r="N33" s="10">
        <f>IF(OR(E33="",J33=""),"",J33-E33)</f>
        <v/>
      </c>
      <c r="O33" s="26" t="n"/>
      <c r="P33" s="25" t="n"/>
    </row>
    <row r="34">
      <c r="A34" s="25" t="n"/>
      <c r="B34" s="25" t="n"/>
      <c r="C34" s="26" t="n"/>
      <c r="D34" s="26" t="n"/>
      <c r="E34" s="27" t="n"/>
      <c r="F34" s="26" t="n"/>
      <c r="G34" s="28" t="n"/>
      <c r="H34" s="27" t="n"/>
      <c r="I34" s="27" t="n"/>
      <c r="J34" s="27" t="n"/>
      <c r="K34" s="10">
        <f>IF(OR(E34="",I34=""),"",E34-I34)</f>
        <v/>
      </c>
      <c r="L34" s="10">
        <f>IF(OR(E34="",H34=""),"",E34-H34)</f>
        <v/>
      </c>
      <c r="M34" s="11">
        <f>IF(OR(E34="",E34=0,H34=""),"",H34/E34)</f>
        <v/>
      </c>
      <c r="N34" s="10">
        <f>IF(OR(E34="",J34=""),"",J34-E34)</f>
        <v/>
      </c>
      <c r="O34" s="26" t="n"/>
      <c r="P34" s="25" t="n"/>
    </row>
    <row r="35">
      <c r="A35" s="25" t="n"/>
      <c r="B35" s="25" t="n"/>
      <c r="C35" s="26" t="n"/>
      <c r="D35" s="26" t="n"/>
      <c r="E35" s="27" t="n"/>
      <c r="F35" s="26" t="n"/>
      <c r="G35" s="28" t="n"/>
      <c r="H35" s="27" t="n"/>
      <c r="I35" s="27" t="n"/>
      <c r="J35" s="27" t="n"/>
      <c r="K35" s="10">
        <f>IF(OR(E35="",I35=""),"",E35-I35)</f>
        <v/>
      </c>
      <c r="L35" s="10">
        <f>IF(OR(E35="",H35=""),"",E35-H35)</f>
        <v/>
      </c>
      <c r="M35" s="11">
        <f>IF(OR(E35="",E35=0,H35=""),"",H35/E35)</f>
        <v/>
      </c>
      <c r="N35" s="10">
        <f>IF(OR(E35="",J35=""),"",J35-E35)</f>
        <v/>
      </c>
      <c r="O35" s="26" t="n"/>
      <c r="P35" s="25" t="n"/>
    </row>
    <row r="36">
      <c r="A36" s="25" t="n"/>
      <c r="B36" s="25" t="n"/>
      <c r="C36" s="26" t="n"/>
      <c r="D36" s="26" t="n"/>
      <c r="E36" s="27" t="n"/>
      <c r="F36" s="26" t="n"/>
      <c r="G36" s="28" t="n"/>
      <c r="H36" s="27" t="n"/>
      <c r="I36" s="27" t="n"/>
      <c r="J36" s="27" t="n"/>
      <c r="K36" s="10">
        <f>IF(OR(E36="",I36=""),"",E36-I36)</f>
        <v/>
      </c>
      <c r="L36" s="10">
        <f>IF(OR(E36="",H36=""),"",E36-H36)</f>
        <v/>
      </c>
      <c r="M36" s="11">
        <f>IF(OR(E36="",E36=0,H36=""),"",H36/E36)</f>
        <v/>
      </c>
      <c r="N36" s="10">
        <f>IF(OR(E36="",J36=""),"",J36-E36)</f>
        <v/>
      </c>
      <c r="O36" s="26" t="n"/>
      <c r="P36" s="25" t="n"/>
    </row>
    <row r="37">
      <c r="A37" s="25" t="n"/>
      <c r="B37" s="25" t="n"/>
      <c r="C37" s="26" t="n"/>
      <c r="D37" s="26" t="n"/>
      <c r="E37" s="27" t="n"/>
      <c r="F37" s="26" t="n"/>
      <c r="G37" s="28" t="n"/>
      <c r="H37" s="27" t="n"/>
      <c r="I37" s="27" t="n"/>
      <c r="J37" s="27" t="n"/>
      <c r="K37" s="10">
        <f>IF(OR(E37="",I37=""),"",E37-I37)</f>
        <v/>
      </c>
      <c r="L37" s="10">
        <f>IF(OR(E37="",H37=""),"",E37-H37)</f>
        <v/>
      </c>
      <c r="M37" s="11">
        <f>IF(OR(E37="",E37=0,H37=""),"",H37/E37)</f>
        <v/>
      </c>
      <c r="N37" s="10">
        <f>IF(OR(E37="",J37=""),"",J37-E37)</f>
        <v/>
      </c>
      <c r="O37" s="26" t="n"/>
      <c r="P37" s="25" t="n"/>
    </row>
    <row r="38">
      <c r="A38" s="25" t="n"/>
      <c r="B38" s="25" t="n"/>
      <c r="C38" s="26" t="n"/>
      <c r="D38" s="26" t="n"/>
      <c r="E38" s="27" t="n"/>
      <c r="F38" s="26" t="n"/>
      <c r="G38" s="28" t="n"/>
      <c r="H38" s="27" t="n"/>
      <c r="I38" s="27" t="n"/>
      <c r="J38" s="27" t="n"/>
      <c r="K38" s="10">
        <f>IF(OR(E38="",I38=""),"",E38-I38)</f>
        <v/>
      </c>
      <c r="L38" s="10">
        <f>IF(OR(E38="",H38=""),"",E38-H38)</f>
        <v/>
      </c>
      <c r="M38" s="11">
        <f>IF(OR(E38="",E38=0,H38=""),"",H38/E38)</f>
        <v/>
      </c>
      <c r="N38" s="10">
        <f>IF(OR(E38="",J38=""),"",J38-E38)</f>
        <v/>
      </c>
      <c r="O38" s="26" t="n"/>
      <c r="P38" s="25" t="n"/>
    </row>
    <row r="39">
      <c r="A39" s="25" t="n"/>
      <c r="B39" s="25" t="n"/>
      <c r="C39" s="26" t="n"/>
      <c r="D39" s="26" t="n"/>
      <c r="E39" s="27" t="n"/>
      <c r="F39" s="26" t="n"/>
      <c r="G39" s="28" t="n"/>
      <c r="H39" s="27" t="n"/>
      <c r="I39" s="27" t="n"/>
      <c r="J39" s="27" t="n"/>
      <c r="K39" s="10">
        <f>IF(OR(E39="",I39=""),"",E39-I39)</f>
        <v/>
      </c>
      <c r="L39" s="10">
        <f>IF(OR(E39="",H39=""),"",E39-H39)</f>
        <v/>
      </c>
      <c r="M39" s="11">
        <f>IF(OR(E39="",E39=0,H39=""),"",H39/E39)</f>
        <v/>
      </c>
      <c r="N39" s="10">
        <f>IF(OR(E39="",J39=""),"",J39-E39)</f>
        <v/>
      </c>
      <c r="O39" s="26" t="n"/>
      <c r="P39" s="25" t="n"/>
    </row>
    <row r="40">
      <c r="A40" s="25" t="n"/>
      <c r="B40" s="25" t="n"/>
      <c r="C40" s="26" t="n"/>
      <c r="D40" s="26" t="n"/>
      <c r="E40" s="27" t="n"/>
      <c r="F40" s="26" t="n"/>
      <c r="G40" s="28" t="n"/>
      <c r="H40" s="27" t="n"/>
      <c r="I40" s="27" t="n"/>
      <c r="J40" s="27" t="n"/>
      <c r="K40" s="10">
        <f>IF(OR(E40="",I40=""),"",E40-I40)</f>
        <v/>
      </c>
      <c r="L40" s="10">
        <f>IF(OR(E40="",H40=""),"",E40-H40)</f>
        <v/>
      </c>
      <c r="M40" s="11">
        <f>IF(OR(E40="",E40=0,H40=""),"",H40/E40)</f>
        <v/>
      </c>
      <c r="N40" s="10">
        <f>IF(OR(E40="",J40=""),"",J40-E40)</f>
        <v/>
      </c>
      <c r="O40" s="26" t="n"/>
      <c r="P40" s="25" t="n"/>
    </row>
    <row r="41">
      <c r="A41" s="25" t="n"/>
      <c r="B41" s="25" t="n"/>
      <c r="C41" s="26" t="n"/>
      <c r="D41" s="26" t="n"/>
      <c r="E41" s="27" t="n"/>
      <c r="F41" s="26" t="n"/>
      <c r="G41" s="28" t="n"/>
      <c r="H41" s="27" t="n"/>
      <c r="I41" s="27" t="n"/>
      <c r="J41" s="27" t="n"/>
      <c r="K41" s="10">
        <f>IF(OR(E41="",I41=""),"",E41-I41)</f>
        <v/>
      </c>
      <c r="L41" s="10">
        <f>IF(OR(E41="",H41=""),"",E41-H41)</f>
        <v/>
      </c>
      <c r="M41" s="11">
        <f>IF(OR(E41="",E41=0,H41=""),"",H41/E41)</f>
        <v/>
      </c>
      <c r="N41" s="10">
        <f>IF(OR(E41="",J41=""),"",J41-E41)</f>
        <v/>
      </c>
      <c r="O41" s="26" t="n"/>
      <c r="P41" s="25" t="n"/>
    </row>
    <row r="42">
      <c r="A42" s="25" t="n"/>
      <c r="B42" s="25" t="n"/>
      <c r="C42" s="26" t="n"/>
      <c r="D42" s="26" t="n"/>
      <c r="E42" s="27" t="n"/>
      <c r="F42" s="26" t="n"/>
      <c r="G42" s="28" t="n"/>
      <c r="H42" s="27" t="n"/>
      <c r="I42" s="27" t="n"/>
      <c r="J42" s="27" t="n"/>
      <c r="K42" s="10">
        <f>IF(OR(E42="",I42=""),"",E42-I42)</f>
        <v/>
      </c>
      <c r="L42" s="10">
        <f>IF(OR(E42="",H42=""),"",E42-H42)</f>
        <v/>
      </c>
      <c r="M42" s="11">
        <f>IF(OR(E42="",E42=0,H42=""),"",H42/E42)</f>
        <v/>
      </c>
      <c r="N42" s="10">
        <f>IF(OR(E42="",J42=""),"",J42-E42)</f>
        <v/>
      </c>
      <c r="O42" s="26" t="n"/>
      <c r="P42" s="25" t="n"/>
    </row>
    <row r="43">
      <c r="A43" s="25" t="n"/>
      <c r="B43" s="25" t="n"/>
      <c r="C43" s="26" t="n"/>
      <c r="D43" s="26" t="n"/>
      <c r="E43" s="27" t="n"/>
      <c r="F43" s="26" t="n"/>
      <c r="G43" s="28" t="n"/>
      <c r="H43" s="27" t="n"/>
      <c r="I43" s="27" t="n"/>
      <c r="J43" s="27" t="n"/>
      <c r="K43" s="10">
        <f>IF(OR(E43="",I43=""),"",E43-I43)</f>
        <v/>
      </c>
      <c r="L43" s="10">
        <f>IF(OR(E43="",H43=""),"",E43-H43)</f>
        <v/>
      </c>
      <c r="M43" s="11">
        <f>IF(OR(E43="",E43=0,H43=""),"",H43/E43)</f>
        <v/>
      </c>
      <c r="N43" s="10">
        <f>IF(OR(E43="",J43=""),"",J43-E43)</f>
        <v/>
      </c>
      <c r="O43" s="26" t="n"/>
      <c r="P43" s="25" t="n"/>
    </row>
    <row r="44">
      <c r="A44" s="25" t="n"/>
      <c r="B44" s="25" t="n"/>
      <c r="C44" s="26" t="n"/>
      <c r="D44" s="26" t="n"/>
      <c r="E44" s="27" t="n"/>
      <c r="F44" s="26" t="n"/>
      <c r="G44" s="28" t="n"/>
      <c r="H44" s="27" t="n"/>
      <c r="I44" s="27" t="n"/>
      <c r="J44" s="27" t="n"/>
      <c r="K44" s="10">
        <f>IF(OR(E44="",I44=""),"",E44-I44)</f>
        <v/>
      </c>
      <c r="L44" s="10">
        <f>IF(OR(E44="",H44=""),"",E44-H44)</f>
        <v/>
      </c>
      <c r="M44" s="11">
        <f>IF(OR(E44="",E44=0,H44=""),"",H44/E44)</f>
        <v/>
      </c>
      <c r="N44" s="10">
        <f>IF(OR(E44="",J44=""),"",J44-E44)</f>
        <v/>
      </c>
      <c r="O44" s="26" t="n"/>
      <c r="P44" s="25" t="n"/>
    </row>
    <row r="45">
      <c r="A45" s="25" t="n"/>
      <c r="B45" s="25" t="n"/>
      <c r="C45" s="26" t="n"/>
      <c r="D45" s="26" t="n"/>
      <c r="E45" s="27" t="n"/>
      <c r="F45" s="26" t="n"/>
      <c r="G45" s="28" t="n"/>
      <c r="H45" s="27" t="n"/>
      <c r="I45" s="27" t="n"/>
      <c r="J45" s="27" t="n"/>
      <c r="K45" s="10">
        <f>IF(OR(E45="",I45=""),"",E45-I45)</f>
        <v/>
      </c>
      <c r="L45" s="10">
        <f>IF(OR(E45="",H45=""),"",E45-H45)</f>
        <v/>
      </c>
      <c r="M45" s="11">
        <f>IF(OR(E45="",E45=0,H45=""),"",H45/E45)</f>
        <v/>
      </c>
      <c r="N45" s="10">
        <f>IF(OR(E45="",J45=""),"",J45-E45)</f>
        <v/>
      </c>
      <c r="O45" s="26" t="n"/>
      <c r="P45" s="25" t="n"/>
    </row>
    <row r="46">
      <c r="A46" s="25" t="n"/>
      <c r="B46" s="25" t="n"/>
      <c r="C46" s="26" t="n"/>
      <c r="D46" s="26" t="n"/>
      <c r="E46" s="27" t="n"/>
      <c r="F46" s="26" t="n"/>
      <c r="G46" s="28" t="n"/>
      <c r="H46" s="27" t="n"/>
      <c r="I46" s="27" t="n"/>
      <c r="J46" s="27" t="n"/>
      <c r="K46" s="10">
        <f>IF(OR(E46="",I46=""),"",E46-I46)</f>
        <v/>
      </c>
      <c r="L46" s="10">
        <f>IF(OR(E46="",H46=""),"",E46-H46)</f>
        <v/>
      </c>
      <c r="M46" s="11">
        <f>IF(OR(E46="",E46=0,H46=""),"",H46/E46)</f>
        <v/>
      </c>
      <c r="N46" s="10">
        <f>IF(OR(E46="",J46=""),"",J46-E46)</f>
        <v/>
      </c>
      <c r="O46" s="26" t="n"/>
      <c r="P46" s="25" t="n"/>
    </row>
    <row r="47">
      <c r="A47" s="25" t="n"/>
      <c r="B47" s="25" t="n"/>
      <c r="C47" s="26" t="n"/>
      <c r="D47" s="26" t="n"/>
      <c r="E47" s="27" t="n"/>
      <c r="F47" s="26" t="n"/>
      <c r="G47" s="28" t="n"/>
      <c r="H47" s="27" t="n"/>
      <c r="I47" s="27" t="n"/>
      <c r="J47" s="27" t="n"/>
      <c r="K47" s="10">
        <f>IF(OR(E47="",I47=""),"",E47-I47)</f>
        <v/>
      </c>
      <c r="L47" s="10">
        <f>IF(OR(E47="",H47=""),"",E47-H47)</f>
        <v/>
      </c>
      <c r="M47" s="11">
        <f>IF(OR(E47="",E47=0,H47=""),"",H47/E47)</f>
        <v/>
      </c>
      <c r="N47" s="10">
        <f>IF(OR(E47="",J47=""),"",J47-E47)</f>
        <v/>
      </c>
      <c r="O47" s="26" t="n"/>
      <c r="P47" s="25" t="n"/>
    </row>
    <row r="48">
      <c r="A48" s="25" t="n"/>
      <c r="B48" s="25" t="n"/>
      <c r="C48" s="26" t="n"/>
      <c r="D48" s="26" t="n"/>
      <c r="E48" s="27" t="n"/>
      <c r="F48" s="26" t="n"/>
      <c r="G48" s="28" t="n"/>
      <c r="H48" s="27" t="n"/>
      <c r="I48" s="27" t="n"/>
      <c r="J48" s="27" t="n"/>
      <c r="K48" s="10">
        <f>IF(OR(E48="",I48=""),"",E48-I48)</f>
        <v/>
      </c>
      <c r="L48" s="10">
        <f>IF(OR(E48="",H48=""),"",E48-H48)</f>
        <v/>
      </c>
      <c r="M48" s="11">
        <f>IF(OR(E48="",E48=0,H48=""),"",H48/E48)</f>
        <v/>
      </c>
      <c r="N48" s="10">
        <f>IF(OR(E48="",J48=""),"",J48-E48)</f>
        <v/>
      </c>
      <c r="O48" s="26" t="n"/>
      <c r="P48" s="25" t="n"/>
    </row>
    <row r="49">
      <c r="A49" s="25" t="n"/>
      <c r="B49" s="25" t="n"/>
      <c r="C49" s="26" t="n"/>
      <c r="D49" s="26" t="n"/>
      <c r="E49" s="27" t="n"/>
      <c r="F49" s="26" t="n"/>
      <c r="G49" s="28" t="n"/>
      <c r="H49" s="27" t="n"/>
      <c r="I49" s="27" t="n"/>
      <c r="J49" s="27" t="n"/>
      <c r="K49" s="10">
        <f>IF(OR(E49="",I49=""),"",E49-I49)</f>
        <v/>
      </c>
      <c r="L49" s="10">
        <f>IF(OR(E49="",H49=""),"",E49-H49)</f>
        <v/>
      </c>
      <c r="M49" s="11">
        <f>IF(OR(E49="",E49=0,H49=""),"",H49/E49)</f>
        <v/>
      </c>
      <c r="N49" s="10">
        <f>IF(OR(E49="",J49=""),"",J49-E49)</f>
        <v/>
      </c>
      <c r="O49" s="26" t="n"/>
      <c r="P49" s="25" t="n"/>
    </row>
    <row r="50">
      <c r="A50" s="25" t="n"/>
      <c r="B50" s="25" t="n"/>
      <c r="C50" s="26" t="n"/>
      <c r="D50" s="26" t="n"/>
      <c r="E50" s="27" t="n"/>
      <c r="F50" s="26" t="n"/>
      <c r="G50" s="28" t="n"/>
      <c r="H50" s="27" t="n"/>
      <c r="I50" s="27" t="n"/>
      <c r="J50" s="27" t="n"/>
      <c r="K50" s="10">
        <f>IF(OR(E50="",I50=""),"",E50-I50)</f>
        <v/>
      </c>
      <c r="L50" s="10">
        <f>IF(OR(E50="",H50=""),"",E50-H50)</f>
        <v/>
      </c>
      <c r="M50" s="11">
        <f>IF(OR(E50="",E50=0,H50=""),"",H50/E50)</f>
        <v/>
      </c>
      <c r="N50" s="10">
        <f>IF(OR(E50="",J50=""),"",J50-E50)</f>
        <v/>
      </c>
      <c r="O50" s="26" t="n"/>
      <c r="P50" s="25" t="n"/>
    </row>
    <row r="51">
      <c r="A51" s="25" t="n"/>
      <c r="B51" s="25" t="n"/>
      <c r="C51" s="26" t="n"/>
      <c r="D51" s="26" t="n"/>
      <c r="E51" s="27" t="n"/>
      <c r="F51" s="26" t="n"/>
      <c r="G51" s="28" t="n"/>
      <c r="H51" s="27" t="n"/>
      <c r="I51" s="27" t="n"/>
      <c r="J51" s="27" t="n"/>
      <c r="K51" s="10">
        <f>IF(OR(E51="",I51=""),"",E51-I51)</f>
        <v/>
      </c>
      <c r="L51" s="10">
        <f>IF(OR(E51="",H51=""),"",E51-H51)</f>
        <v/>
      </c>
      <c r="M51" s="11">
        <f>IF(OR(E51="",E51=0,H51=""),"",H51/E51)</f>
        <v/>
      </c>
      <c r="N51" s="10">
        <f>IF(OR(E51="",J51=""),"",J51-E51)</f>
        <v/>
      </c>
      <c r="O51" s="26" t="n"/>
      <c r="P51" s="25" t="n"/>
    </row>
    <row r="52">
      <c r="A52" s="12" t="inlineStr">
        <is>
          <t>LOB TOTALS</t>
        </is>
      </c>
      <c r="B52" s="12" t="n"/>
      <c r="C52" s="12" t="n"/>
      <c r="D52" s="12" t="n"/>
      <c r="E52" s="13">
        <f>SUMIF(A12:A51,"&lt;&gt;",E12:E51)</f>
        <v/>
      </c>
      <c r="F52" s="12" t="n"/>
      <c r="G52" s="12" t="n"/>
      <c r="H52" s="13">
        <f>SUMIF(A12:A51,"&lt;&gt;",H12:H51)</f>
        <v/>
      </c>
      <c r="I52" s="13">
        <f>SUMIF(A12:A51,"&lt;&gt;",I12:I51)</f>
        <v/>
      </c>
      <c r="J52" s="13">
        <f>SUMIF(A12:A51,"&lt;&gt;",J12:J51)</f>
        <v/>
      </c>
      <c r="K52" s="13">
        <f>SUMIF(A12:A51,"&lt;&gt;",K12:K51)</f>
        <v/>
      </c>
      <c r="L52" s="13">
        <f>SUMIF(A12:A51,"&lt;&gt;",L12:L51)</f>
        <v/>
      </c>
      <c r="M52" s="14">
        <f>IF(OR(E52="",E52=0),"",H52/E52)</f>
        <v/>
      </c>
      <c r="N52" s="13">
        <f>SUMIF(A12:A51,"&lt;&gt;",N12:N51)</f>
        <v/>
      </c>
      <c r="O52" s="12" t="n"/>
      <c r="P52" s="12" t="n"/>
    </row>
    <row r="54">
      <c r="A54" s="29" t="inlineStr">
        <is>
          <t>Legend: Yellow = input  |  Green = formula  |  Grey = totals  |  Blue = LOB KPIs</t>
        </is>
      </c>
    </row>
  </sheetData>
  <autoFilter ref="A11:P51"/>
  <mergeCells count="4">
    <mergeCell ref="A6:P6"/>
    <mergeCell ref="A10:P10"/>
    <mergeCell ref="A1:P1"/>
    <mergeCell ref="A2:P2"/>
  </mergeCells>
  <conditionalFormatting sqref="M12:M51">
    <cfRule type="cellIs" priority="1" operator="greaterThan" dxfId="0">
      <formula>0.9</formula>
    </cfRule>
  </conditionalFormatting>
  <conditionalFormatting sqref="N12:N51">
    <cfRule type="cellIs" priority="2" operator="greaterThan" dxfId="0">
      <formula>0</formula>
    </cfRule>
  </conditionalFormatting>
  <conditionalFormatting sqref="L7">
    <cfRule type="cellIs" priority="3" operator="greaterThan" dxfId="0">
      <formula>0.9</formula>
    </cfRule>
  </conditionalFormatting>
  <conditionalFormatting sqref="N7">
    <cfRule type="cellIs" priority="4" operator="greaterThan" dxfId="0">
      <formula>0</formula>
    </cfRule>
  </conditionalFormatting>
  <dataValidations count="3">
    <dataValidation sqref="C12:C51" showDropDown="0" showInputMessage="0" showErrorMessage="0" allowBlank="1" type="list">
      <formula1>"Contractor,Permanent FTEs,Tooling,Infrastructure,Professional services,Travel,Other"</formula1>
    </dataValidation>
    <dataValidation sqref="O12:O51" showDropDown="0" showInputMessage="0" showErrorMessage="0" allowBlank="1" type="list">
      <formula1>"On track,At risk,Overspent,Not started,Closed"</formula1>
    </dataValidation>
    <dataValidation sqref="F4" showDropDown="0" showInputMessage="0" showErrorMessage="0" allowBlank="1" type="list">
      <formula1>"FY25,FY26,FY27,FY26 H1,FY26 H2,FY26 Q1,FY26 Q2,FY26 Q3,FY26 Q4"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22" customWidth="1" min="2" max="2"/>
    <col width="14" customWidth="1" min="3" max="3"/>
    <col width="20" customWidth="1" min="4" max="4"/>
    <col width="16" customWidth="1" min="5" max="5"/>
    <col width="18" customWidth="1" min="6" max="6"/>
    <col width="13" customWidth="1" min="7" max="7"/>
    <col width="14" customWidth="1" min="8" max="8"/>
    <col width="12" customWidth="1" min="9" max="9"/>
    <col width="14" customWidth="1" min="10" max="10"/>
    <col width="12" customWidth="1" min="11" max="11"/>
    <col width="12" customWidth="1" min="12" max="12"/>
    <col width="10" customWidth="1" min="13" max="13"/>
    <col width="14" customWidth="1" min="14" max="14"/>
    <col width="12" customWidth="1" min="15" max="15"/>
    <col width="24" customWidth="1" min="16" max="16"/>
  </cols>
  <sheetData>
    <row r="1" ht="28" customHeight="1">
      <c r="A1" s="18" t="inlineStr">
        <is>
          <t>LOB Budget View — Mid-Market</t>
        </is>
      </c>
    </row>
    <row r="2">
      <c r="A2" s="4" t="inlineStr">
        <is>
          <t>Per-LOB consolidated view. Yellow = enter. Green = calculated. One row per project / workstream in this LOB. Cross-LOB Summary rolls these sheets up.</t>
        </is>
      </c>
    </row>
    <row r="4">
      <c r="A4" s="19" t="inlineStr">
        <is>
          <t>LOB</t>
        </is>
      </c>
      <c r="B4" s="6" t="inlineStr">
        <is>
          <t>Mid-Market</t>
        </is>
      </c>
      <c r="C4" s="19" t="inlineStr">
        <is>
          <t>Primary HOE</t>
        </is>
      </c>
      <c r="D4" s="6" t="inlineStr"/>
      <c r="E4" s="19" t="inlineStr">
        <is>
          <t>FY / Period</t>
        </is>
      </c>
      <c r="F4" s="6" t="inlineStr">
        <is>
          <t>FY26</t>
        </is>
      </c>
      <c r="G4" s="19" t="inlineStr">
        <is>
          <t>Currency</t>
        </is>
      </c>
      <c r="H4" s="6" t="inlineStr">
        <is>
          <t>AUD</t>
        </is>
      </c>
      <c r="I4" s="19" t="inlineStr">
        <is>
          <t>Last updated</t>
        </is>
      </c>
      <c r="J4" s="20" t="inlineStr">
        <is>
          <t>2026-10-06</t>
        </is>
      </c>
    </row>
    <row r="6">
      <c r="A6" s="15" t="inlineStr">
        <is>
          <t>LOB SUMMARY (auto from detail below)</t>
        </is>
      </c>
    </row>
    <row r="7">
      <c r="A7" s="21" t="inlineStr"/>
      <c r="B7" s="22">
        <f>SUMIF(A12:A51,"&lt;&gt;",E12:E51)</f>
        <v/>
      </c>
      <c r="C7" s="21" t="inlineStr"/>
      <c r="D7" s="22">
        <f>SUMIF(A12:A51,"&lt;&gt;",H12:H51)</f>
        <v/>
      </c>
      <c r="E7" s="21" t="inlineStr"/>
      <c r="F7" s="22">
        <f>SUMIF(A12:A51,"&lt;&gt;",I12:I51)</f>
        <v/>
      </c>
      <c r="G7" s="21" t="inlineStr"/>
      <c r="H7" s="22">
        <f>SUMIF(A12:A51,"&lt;&gt;",J12:J51)</f>
        <v/>
      </c>
      <c r="I7" s="21" t="inlineStr"/>
      <c r="J7" s="22">
        <f>IF(B7="","",B7-D7)</f>
        <v/>
      </c>
      <c r="K7" s="21" t="inlineStr"/>
      <c r="L7" s="23">
        <f>IF(OR(B7="",B7=0),"",D7/B7)</f>
        <v/>
      </c>
      <c r="M7" s="21" t="inlineStr"/>
      <c r="N7" s="22">
        <f>IF(OR(B7="",H7=""),"",H7-B7)</f>
        <v/>
      </c>
    </row>
    <row r="8">
      <c r="A8" s="24" t="inlineStr">
        <is>
          <t>Total Approved</t>
        </is>
      </c>
      <c r="B8" s="21" t="inlineStr"/>
      <c r="C8" s="24" t="inlineStr">
        <is>
          <t>Total Spent</t>
        </is>
      </c>
      <c r="D8" s="21" t="inlineStr"/>
      <c r="E8" s="24" t="inlineStr">
        <is>
          <t>Unallocated</t>
        </is>
      </c>
      <c r="F8" s="21" t="inlineStr"/>
      <c r="G8" s="24" t="inlineStr">
        <is>
          <t>Forecasted Spend</t>
        </is>
      </c>
      <c r="H8" s="21" t="inlineStr"/>
      <c r="I8" s="24" t="inlineStr">
        <is>
          <t>Remaining</t>
        </is>
      </c>
      <c r="J8" s="21" t="inlineStr"/>
      <c r="K8" s="24" t="inlineStr">
        <is>
          <t>% of Approved Spent</t>
        </is>
      </c>
      <c r="L8" s="21" t="inlineStr"/>
      <c r="M8" s="24" t="inlineStr">
        <is>
          <t>Forecast vs Approved</t>
        </is>
      </c>
      <c r="N8" s="21" t="inlineStr"/>
    </row>
    <row r="10">
      <c r="A10" s="4" t="inlineStr">
        <is>
          <t>Detail by project (enter below). Use filter on Managed by (HOE) to focus one HOE.</t>
        </is>
      </c>
    </row>
    <row r="11" ht="34" customHeight="1">
      <c r="A11" s="5" t="inlineStr">
        <is>
          <t>Project / Workstream</t>
        </is>
      </c>
      <c r="B11" s="5" t="inlineStr">
        <is>
          <t>Initiative / Cost centre</t>
        </is>
      </c>
      <c r="C11" s="5" t="inlineStr">
        <is>
          <t>Cost category</t>
        </is>
      </c>
      <c r="D11" s="5" t="inlineStr">
        <is>
          <t>Managed by (HOE)</t>
        </is>
      </c>
      <c r="E11" s="5" t="inlineStr">
        <is>
          <t>Total Budget Approved</t>
        </is>
      </c>
      <c r="F11" s="5" t="inlineStr">
        <is>
          <t>Approved By</t>
        </is>
      </c>
      <c r="G11" s="5" t="inlineStr">
        <is>
          <t>Approval Date</t>
        </is>
      </c>
      <c r="H11" s="5" t="inlineStr">
        <is>
          <t>Spent (Actual)</t>
        </is>
      </c>
      <c r="I11" s="5" t="inlineStr">
        <is>
          <t>Unallocated</t>
        </is>
      </c>
      <c r="J11" s="5" t="inlineStr">
        <is>
          <t>Forecasted Spend</t>
        </is>
      </c>
      <c r="K11" s="5" t="inlineStr">
        <is>
          <t>Allocated</t>
        </is>
      </c>
      <c r="L11" s="5" t="inlineStr">
        <is>
          <t>Remaining</t>
        </is>
      </c>
      <c r="M11" s="5" t="inlineStr">
        <is>
          <t>% Spent</t>
        </is>
      </c>
      <c r="N11" s="5" t="inlineStr">
        <is>
          <t>Forecast vs Approved</t>
        </is>
      </c>
      <c r="O11" s="5" t="inlineStr">
        <is>
          <t>Status</t>
        </is>
      </c>
      <c r="P11" s="5" t="inlineStr">
        <is>
          <t>Notes</t>
        </is>
      </c>
    </row>
    <row r="12">
      <c r="A12" s="25" t="n"/>
      <c r="B12" s="25" t="n"/>
      <c r="C12" s="26" t="n"/>
      <c r="D12" s="26" t="n"/>
      <c r="E12" s="27" t="n"/>
      <c r="F12" s="26" t="n"/>
      <c r="G12" s="28" t="n"/>
      <c r="H12" s="27" t="n"/>
      <c r="I12" s="27" t="n"/>
      <c r="J12" s="27" t="n"/>
      <c r="K12" s="10">
        <f>IF(OR(E12="",I12=""),"",E12-I12)</f>
        <v/>
      </c>
      <c r="L12" s="10">
        <f>IF(OR(E12="",H12=""),"",E12-H12)</f>
        <v/>
      </c>
      <c r="M12" s="11">
        <f>IF(OR(E12="",E12=0,H12=""),"",H12/E12)</f>
        <v/>
      </c>
      <c r="N12" s="10">
        <f>IF(OR(E12="",J12=""),"",J12-E12)</f>
        <v/>
      </c>
      <c r="O12" s="26" t="n"/>
      <c r="P12" s="25" t="n"/>
    </row>
    <row r="13">
      <c r="A13" s="25" t="n"/>
      <c r="B13" s="25" t="n"/>
      <c r="C13" s="26" t="n"/>
      <c r="D13" s="26" t="n"/>
      <c r="E13" s="27" t="n"/>
      <c r="F13" s="26" t="n"/>
      <c r="G13" s="28" t="n"/>
      <c r="H13" s="27" t="n"/>
      <c r="I13" s="27" t="n"/>
      <c r="J13" s="27" t="n"/>
      <c r="K13" s="10">
        <f>IF(OR(E13="",I13=""),"",E13-I13)</f>
        <v/>
      </c>
      <c r="L13" s="10">
        <f>IF(OR(E13="",H13=""),"",E13-H13)</f>
        <v/>
      </c>
      <c r="M13" s="11">
        <f>IF(OR(E13="",E13=0,H13=""),"",H13/E13)</f>
        <v/>
      </c>
      <c r="N13" s="10">
        <f>IF(OR(E13="",J13=""),"",J13-E13)</f>
        <v/>
      </c>
      <c r="O13" s="26" t="n"/>
      <c r="P13" s="25" t="n"/>
    </row>
    <row r="14">
      <c r="A14" s="25" t="n"/>
      <c r="B14" s="25" t="n"/>
      <c r="C14" s="26" t="n"/>
      <c r="D14" s="26" t="n"/>
      <c r="E14" s="27" t="n"/>
      <c r="F14" s="26" t="n"/>
      <c r="G14" s="28" t="n"/>
      <c r="H14" s="27" t="n"/>
      <c r="I14" s="27" t="n"/>
      <c r="J14" s="27" t="n"/>
      <c r="K14" s="10">
        <f>IF(OR(E14="",I14=""),"",E14-I14)</f>
        <v/>
      </c>
      <c r="L14" s="10">
        <f>IF(OR(E14="",H14=""),"",E14-H14)</f>
        <v/>
      </c>
      <c r="M14" s="11">
        <f>IF(OR(E14="",E14=0,H14=""),"",H14/E14)</f>
        <v/>
      </c>
      <c r="N14" s="10">
        <f>IF(OR(E14="",J14=""),"",J14-E14)</f>
        <v/>
      </c>
      <c r="O14" s="26" t="n"/>
      <c r="P14" s="25" t="n"/>
    </row>
    <row r="15">
      <c r="A15" s="25" t="n"/>
      <c r="B15" s="25" t="n"/>
      <c r="C15" s="26" t="n"/>
      <c r="D15" s="26" t="n"/>
      <c r="E15" s="27" t="n"/>
      <c r="F15" s="26" t="n"/>
      <c r="G15" s="28" t="n"/>
      <c r="H15" s="27" t="n"/>
      <c r="I15" s="27" t="n"/>
      <c r="J15" s="27" t="n"/>
      <c r="K15" s="10">
        <f>IF(OR(E15="",I15=""),"",E15-I15)</f>
        <v/>
      </c>
      <c r="L15" s="10">
        <f>IF(OR(E15="",H15=""),"",E15-H15)</f>
        <v/>
      </c>
      <c r="M15" s="11">
        <f>IF(OR(E15="",E15=0,H15=""),"",H15/E15)</f>
        <v/>
      </c>
      <c r="N15" s="10">
        <f>IF(OR(E15="",J15=""),"",J15-E15)</f>
        <v/>
      </c>
      <c r="O15" s="26" t="n"/>
      <c r="P15" s="25" t="n"/>
    </row>
    <row r="16">
      <c r="A16" s="25" t="n"/>
      <c r="B16" s="25" t="n"/>
      <c r="C16" s="26" t="n"/>
      <c r="D16" s="26" t="n"/>
      <c r="E16" s="27" t="n"/>
      <c r="F16" s="26" t="n"/>
      <c r="G16" s="28" t="n"/>
      <c r="H16" s="27" t="n"/>
      <c r="I16" s="27" t="n"/>
      <c r="J16" s="27" t="n"/>
      <c r="K16" s="10">
        <f>IF(OR(E16="",I16=""),"",E16-I16)</f>
        <v/>
      </c>
      <c r="L16" s="10">
        <f>IF(OR(E16="",H16=""),"",E16-H16)</f>
        <v/>
      </c>
      <c r="M16" s="11">
        <f>IF(OR(E16="",E16=0,H16=""),"",H16/E16)</f>
        <v/>
      </c>
      <c r="N16" s="10">
        <f>IF(OR(E16="",J16=""),"",J16-E16)</f>
        <v/>
      </c>
      <c r="O16" s="26" t="n"/>
      <c r="P16" s="25" t="n"/>
    </row>
    <row r="17">
      <c r="A17" s="25" t="n"/>
      <c r="B17" s="25" t="n"/>
      <c r="C17" s="26" t="n"/>
      <c r="D17" s="26" t="n"/>
      <c r="E17" s="27" t="n"/>
      <c r="F17" s="26" t="n"/>
      <c r="G17" s="28" t="n"/>
      <c r="H17" s="27" t="n"/>
      <c r="I17" s="27" t="n"/>
      <c r="J17" s="27" t="n"/>
      <c r="K17" s="10">
        <f>IF(OR(E17="",I17=""),"",E17-I17)</f>
        <v/>
      </c>
      <c r="L17" s="10">
        <f>IF(OR(E17="",H17=""),"",E17-H17)</f>
        <v/>
      </c>
      <c r="M17" s="11">
        <f>IF(OR(E17="",E17=0,H17=""),"",H17/E17)</f>
        <v/>
      </c>
      <c r="N17" s="10">
        <f>IF(OR(E17="",J17=""),"",J17-E17)</f>
        <v/>
      </c>
      <c r="O17" s="26" t="n"/>
      <c r="P17" s="25" t="n"/>
    </row>
    <row r="18">
      <c r="A18" s="25" t="n"/>
      <c r="B18" s="25" t="n"/>
      <c r="C18" s="26" t="n"/>
      <c r="D18" s="26" t="n"/>
      <c r="E18" s="27" t="n"/>
      <c r="F18" s="26" t="n"/>
      <c r="G18" s="28" t="n"/>
      <c r="H18" s="27" t="n"/>
      <c r="I18" s="27" t="n"/>
      <c r="J18" s="27" t="n"/>
      <c r="K18" s="10">
        <f>IF(OR(E18="",I18=""),"",E18-I18)</f>
        <v/>
      </c>
      <c r="L18" s="10">
        <f>IF(OR(E18="",H18=""),"",E18-H18)</f>
        <v/>
      </c>
      <c r="M18" s="11">
        <f>IF(OR(E18="",E18=0,H18=""),"",H18/E18)</f>
        <v/>
      </c>
      <c r="N18" s="10">
        <f>IF(OR(E18="",J18=""),"",J18-E18)</f>
        <v/>
      </c>
      <c r="O18" s="26" t="n"/>
      <c r="P18" s="25" t="n"/>
    </row>
    <row r="19">
      <c r="A19" s="25" t="n"/>
      <c r="B19" s="25" t="n"/>
      <c r="C19" s="26" t="n"/>
      <c r="D19" s="26" t="n"/>
      <c r="E19" s="27" t="n"/>
      <c r="F19" s="26" t="n"/>
      <c r="G19" s="28" t="n"/>
      <c r="H19" s="27" t="n"/>
      <c r="I19" s="27" t="n"/>
      <c r="J19" s="27" t="n"/>
      <c r="K19" s="10">
        <f>IF(OR(E19="",I19=""),"",E19-I19)</f>
        <v/>
      </c>
      <c r="L19" s="10">
        <f>IF(OR(E19="",H19=""),"",E19-H19)</f>
        <v/>
      </c>
      <c r="M19" s="11">
        <f>IF(OR(E19="",E19=0,H19=""),"",H19/E19)</f>
        <v/>
      </c>
      <c r="N19" s="10">
        <f>IF(OR(E19="",J19=""),"",J19-E19)</f>
        <v/>
      </c>
      <c r="O19" s="26" t="n"/>
      <c r="P19" s="25" t="n"/>
    </row>
    <row r="20">
      <c r="A20" s="25" t="n"/>
      <c r="B20" s="25" t="n"/>
      <c r="C20" s="26" t="n"/>
      <c r="D20" s="26" t="n"/>
      <c r="E20" s="27" t="n"/>
      <c r="F20" s="26" t="n"/>
      <c r="G20" s="28" t="n"/>
      <c r="H20" s="27" t="n"/>
      <c r="I20" s="27" t="n"/>
      <c r="J20" s="27" t="n"/>
      <c r="K20" s="10">
        <f>IF(OR(E20="",I20=""),"",E20-I20)</f>
        <v/>
      </c>
      <c r="L20" s="10">
        <f>IF(OR(E20="",H20=""),"",E20-H20)</f>
        <v/>
      </c>
      <c r="M20" s="11">
        <f>IF(OR(E20="",E20=0,H20=""),"",H20/E20)</f>
        <v/>
      </c>
      <c r="N20" s="10">
        <f>IF(OR(E20="",J20=""),"",J20-E20)</f>
        <v/>
      </c>
      <c r="O20" s="26" t="n"/>
      <c r="P20" s="25" t="n"/>
    </row>
    <row r="21">
      <c r="A21" s="25" t="n"/>
      <c r="B21" s="25" t="n"/>
      <c r="C21" s="26" t="n"/>
      <c r="D21" s="26" t="n"/>
      <c r="E21" s="27" t="n"/>
      <c r="F21" s="26" t="n"/>
      <c r="G21" s="28" t="n"/>
      <c r="H21" s="27" t="n"/>
      <c r="I21" s="27" t="n"/>
      <c r="J21" s="27" t="n"/>
      <c r="K21" s="10">
        <f>IF(OR(E21="",I21=""),"",E21-I21)</f>
        <v/>
      </c>
      <c r="L21" s="10">
        <f>IF(OR(E21="",H21=""),"",E21-H21)</f>
        <v/>
      </c>
      <c r="M21" s="11">
        <f>IF(OR(E21="",E21=0,H21=""),"",H21/E21)</f>
        <v/>
      </c>
      <c r="N21" s="10">
        <f>IF(OR(E21="",J21=""),"",J21-E21)</f>
        <v/>
      </c>
      <c r="O21" s="26" t="n"/>
      <c r="P21" s="25" t="n"/>
    </row>
    <row r="22">
      <c r="A22" s="25" t="n"/>
      <c r="B22" s="25" t="n"/>
      <c r="C22" s="26" t="n"/>
      <c r="D22" s="26" t="n"/>
      <c r="E22" s="27" t="n"/>
      <c r="F22" s="26" t="n"/>
      <c r="G22" s="28" t="n"/>
      <c r="H22" s="27" t="n"/>
      <c r="I22" s="27" t="n"/>
      <c r="J22" s="27" t="n"/>
      <c r="K22" s="10">
        <f>IF(OR(E22="",I22=""),"",E22-I22)</f>
        <v/>
      </c>
      <c r="L22" s="10">
        <f>IF(OR(E22="",H22=""),"",E22-H22)</f>
        <v/>
      </c>
      <c r="M22" s="11">
        <f>IF(OR(E22="",E22=0,H22=""),"",H22/E22)</f>
        <v/>
      </c>
      <c r="N22" s="10">
        <f>IF(OR(E22="",J22=""),"",J22-E22)</f>
        <v/>
      </c>
      <c r="O22" s="26" t="n"/>
      <c r="P22" s="25" t="n"/>
    </row>
    <row r="23">
      <c r="A23" s="25" t="n"/>
      <c r="B23" s="25" t="n"/>
      <c r="C23" s="26" t="n"/>
      <c r="D23" s="26" t="n"/>
      <c r="E23" s="27" t="n"/>
      <c r="F23" s="26" t="n"/>
      <c r="G23" s="28" t="n"/>
      <c r="H23" s="27" t="n"/>
      <c r="I23" s="27" t="n"/>
      <c r="J23" s="27" t="n"/>
      <c r="K23" s="10">
        <f>IF(OR(E23="",I23=""),"",E23-I23)</f>
        <v/>
      </c>
      <c r="L23" s="10">
        <f>IF(OR(E23="",H23=""),"",E23-H23)</f>
        <v/>
      </c>
      <c r="M23" s="11">
        <f>IF(OR(E23="",E23=0,H23=""),"",H23/E23)</f>
        <v/>
      </c>
      <c r="N23" s="10">
        <f>IF(OR(E23="",J23=""),"",J23-E23)</f>
        <v/>
      </c>
      <c r="O23" s="26" t="n"/>
      <c r="P23" s="25" t="n"/>
    </row>
    <row r="24">
      <c r="A24" s="25" t="n"/>
      <c r="B24" s="25" t="n"/>
      <c r="C24" s="26" t="n"/>
      <c r="D24" s="26" t="n"/>
      <c r="E24" s="27" t="n"/>
      <c r="F24" s="26" t="n"/>
      <c r="G24" s="28" t="n"/>
      <c r="H24" s="27" t="n"/>
      <c r="I24" s="27" t="n"/>
      <c r="J24" s="27" t="n"/>
      <c r="K24" s="10">
        <f>IF(OR(E24="",I24=""),"",E24-I24)</f>
        <v/>
      </c>
      <c r="L24" s="10">
        <f>IF(OR(E24="",H24=""),"",E24-H24)</f>
        <v/>
      </c>
      <c r="M24" s="11">
        <f>IF(OR(E24="",E24=0,H24=""),"",H24/E24)</f>
        <v/>
      </c>
      <c r="N24" s="10">
        <f>IF(OR(E24="",J24=""),"",J24-E24)</f>
        <v/>
      </c>
      <c r="O24" s="26" t="n"/>
      <c r="P24" s="25" t="n"/>
    </row>
    <row r="25">
      <c r="A25" s="25" t="n"/>
      <c r="B25" s="25" t="n"/>
      <c r="C25" s="26" t="n"/>
      <c r="D25" s="26" t="n"/>
      <c r="E25" s="27" t="n"/>
      <c r="F25" s="26" t="n"/>
      <c r="G25" s="28" t="n"/>
      <c r="H25" s="27" t="n"/>
      <c r="I25" s="27" t="n"/>
      <c r="J25" s="27" t="n"/>
      <c r="K25" s="10">
        <f>IF(OR(E25="",I25=""),"",E25-I25)</f>
        <v/>
      </c>
      <c r="L25" s="10">
        <f>IF(OR(E25="",H25=""),"",E25-H25)</f>
        <v/>
      </c>
      <c r="M25" s="11">
        <f>IF(OR(E25="",E25=0,H25=""),"",H25/E25)</f>
        <v/>
      </c>
      <c r="N25" s="10">
        <f>IF(OR(E25="",J25=""),"",J25-E25)</f>
        <v/>
      </c>
      <c r="O25" s="26" t="n"/>
      <c r="P25" s="25" t="n"/>
    </row>
    <row r="26">
      <c r="A26" s="25" t="n"/>
      <c r="B26" s="25" t="n"/>
      <c r="C26" s="26" t="n"/>
      <c r="D26" s="26" t="n"/>
      <c r="E26" s="27" t="n"/>
      <c r="F26" s="26" t="n"/>
      <c r="G26" s="28" t="n"/>
      <c r="H26" s="27" t="n"/>
      <c r="I26" s="27" t="n"/>
      <c r="J26" s="27" t="n"/>
      <c r="K26" s="10">
        <f>IF(OR(E26="",I26=""),"",E26-I26)</f>
        <v/>
      </c>
      <c r="L26" s="10">
        <f>IF(OR(E26="",H26=""),"",E26-H26)</f>
        <v/>
      </c>
      <c r="M26" s="11">
        <f>IF(OR(E26="",E26=0,H26=""),"",H26/E26)</f>
        <v/>
      </c>
      <c r="N26" s="10">
        <f>IF(OR(E26="",J26=""),"",J26-E26)</f>
        <v/>
      </c>
      <c r="O26" s="26" t="n"/>
      <c r="P26" s="25" t="n"/>
    </row>
    <row r="27">
      <c r="A27" s="25" t="n"/>
      <c r="B27" s="25" t="n"/>
      <c r="C27" s="26" t="n"/>
      <c r="D27" s="26" t="n"/>
      <c r="E27" s="27" t="n"/>
      <c r="F27" s="26" t="n"/>
      <c r="G27" s="28" t="n"/>
      <c r="H27" s="27" t="n"/>
      <c r="I27" s="27" t="n"/>
      <c r="J27" s="27" t="n"/>
      <c r="K27" s="10">
        <f>IF(OR(E27="",I27=""),"",E27-I27)</f>
        <v/>
      </c>
      <c r="L27" s="10">
        <f>IF(OR(E27="",H27=""),"",E27-H27)</f>
        <v/>
      </c>
      <c r="M27" s="11">
        <f>IF(OR(E27="",E27=0,H27=""),"",H27/E27)</f>
        <v/>
      </c>
      <c r="N27" s="10">
        <f>IF(OR(E27="",J27=""),"",J27-E27)</f>
        <v/>
      </c>
      <c r="O27" s="26" t="n"/>
      <c r="P27" s="25" t="n"/>
    </row>
    <row r="28">
      <c r="A28" s="25" t="n"/>
      <c r="B28" s="25" t="n"/>
      <c r="C28" s="26" t="n"/>
      <c r="D28" s="26" t="n"/>
      <c r="E28" s="27" t="n"/>
      <c r="F28" s="26" t="n"/>
      <c r="G28" s="28" t="n"/>
      <c r="H28" s="27" t="n"/>
      <c r="I28" s="27" t="n"/>
      <c r="J28" s="27" t="n"/>
      <c r="K28" s="10">
        <f>IF(OR(E28="",I28=""),"",E28-I28)</f>
        <v/>
      </c>
      <c r="L28" s="10">
        <f>IF(OR(E28="",H28=""),"",E28-H28)</f>
        <v/>
      </c>
      <c r="M28" s="11">
        <f>IF(OR(E28="",E28=0,H28=""),"",H28/E28)</f>
        <v/>
      </c>
      <c r="N28" s="10">
        <f>IF(OR(E28="",J28=""),"",J28-E28)</f>
        <v/>
      </c>
      <c r="O28" s="26" t="n"/>
      <c r="P28" s="25" t="n"/>
    </row>
    <row r="29">
      <c r="A29" s="25" t="n"/>
      <c r="B29" s="25" t="n"/>
      <c r="C29" s="26" t="n"/>
      <c r="D29" s="26" t="n"/>
      <c r="E29" s="27" t="n"/>
      <c r="F29" s="26" t="n"/>
      <c r="G29" s="28" t="n"/>
      <c r="H29" s="27" t="n"/>
      <c r="I29" s="27" t="n"/>
      <c r="J29" s="27" t="n"/>
      <c r="K29" s="10">
        <f>IF(OR(E29="",I29=""),"",E29-I29)</f>
        <v/>
      </c>
      <c r="L29" s="10">
        <f>IF(OR(E29="",H29=""),"",E29-H29)</f>
        <v/>
      </c>
      <c r="M29" s="11">
        <f>IF(OR(E29="",E29=0,H29=""),"",H29/E29)</f>
        <v/>
      </c>
      <c r="N29" s="10">
        <f>IF(OR(E29="",J29=""),"",J29-E29)</f>
        <v/>
      </c>
      <c r="O29" s="26" t="n"/>
      <c r="P29" s="25" t="n"/>
    </row>
    <row r="30">
      <c r="A30" s="25" t="n"/>
      <c r="B30" s="25" t="n"/>
      <c r="C30" s="26" t="n"/>
      <c r="D30" s="26" t="n"/>
      <c r="E30" s="27" t="n"/>
      <c r="F30" s="26" t="n"/>
      <c r="G30" s="28" t="n"/>
      <c r="H30" s="27" t="n"/>
      <c r="I30" s="27" t="n"/>
      <c r="J30" s="27" t="n"/>
      <c r="K30" s="10">
        <f>IF(OR(E30="",I30=""),"",E30-I30)</f>
        <v/>
      </c>
      <c r="L30" s="10">
        <f>IF(OR(E30="",H30=""),"",E30-H30)</f>
        <v/>
      </c>
      <c r="M30" s="11">
        <f>IF(OR(E30="",E30=0,H30=""),"",H30/E30)</f>
        <v/>
      </c>
      <c r="N30" s="10">
        <f>IF(OR(E30="",J30=""),"",J30-E30)</f>
        <v/>
      </c>
      <c r="O30" s="26" t="n"/>
      <c r="P30" s="25" t="n"/>
    </row>
    <row r="31">
      <c r="A31" s="25" t="n"/>
      <c r="B31" s="25" t="n"/>
      <c r="C31" s="26" t="n"/>
      <c r="D31" s="26" t="n"/>
      <c r="E31" s="27" t="n"/>
      <c r="F31" s="26" t="n"/>
      <c r="G31" s="28" t="n"/>
      <c r="H31" s="27" t="n"/>
      <c r="I31" s="27" t="n"/>
      <c r="J31" s="27" t="n"/>
      <c r="K31" s="10">
        <f>IF(OR(E31="",I31=""),"",E31-I31)</f>
        <v/>
      </c>
      <c r="L31" s="10">
        <f>IF(OR(E31="",H31=""),"",E31-H31)</f>
        <v/>
      </c>
      <c r="M31" s="11">
        <f>IF(OR(E31="",E31=0,H31=""),"",H31/E31)</f>
        <v/>
      </c>
      <c r="N31" s="10">
        <f>IF(OR(E31="",J31=""),"",J31-E31)</f>
        <v/>
      </c>
      <c r="O31" s="26" t="n"/>
      <c r="P31" s="25" t="n"/>
    </row>
    <row r="32">
      <c r="A32" s="25" t="n"/>
      <c r="B32" s="25" t="n"/>
      <c r="C32" s="26" t="n"/>
      <c r="D32" s="26" t="n"/>
      <c r="E32" s="27" t="n"/>
      <c r="F32" s="26" t="n"/>
      <c r="G32" s="28" t="n"/>
      <c r="H32" s="27" t="n"/>
      <c r="I32" s="27" t="n"/>
      <c r="J32" s="27" t="n"/>
      <c r="K32" s="10">
        <f>IF(OR(E32="",I32=""),"",E32-I32)</f>
        <v/>
      </c>
      <c r="L32" s="10">
        <f>IF(OR(E32="",H32=""),"",E32-H32)</f>
        <v/>
      </c>
      <c r="M32" s="11">
        <f>IF(OR(E32="",E32=0,H32=""),"",H32/E32)</f>
        <v/>
      </c>
      <c r="N32" s="10">
        <f>IF(OR(E32="",J32=""),"",J32-E32)</f>
        <v/>
      </c>
      <c r="O32" s="26" t="n"/>
      <c r="P32" s="25" t="n"/>
    </row>
    <row r="33">
      <c r="A33" s="25" t="n"/>
      <c r="B33" s="25" t="n"/>
      <c r="C33" s="26" t="n"/>
      <c r="D33" s="26" t="n"/>
      <c r="E33" s="27" t="n"/>
      <c r="F33" s="26" t="n"/>
      <c r="G33" s="28" t="n"/>
      <c r="H33" s="27" t="n"/>
      <c r="I33" s="27" t="n"/>
      <c r="J33" s="27" t="n"/>
      <c r="K33" s="10">
        <f>IF(OR(E33="",I33=""),"",E33-I33)</f>
        <v/>
      </c>
      <c r="L33" s="10">
        <f>IF(OR(E33="",H33=""),"",E33-H33)</f>
        <v/>
      </c>
      <c r="M33" s="11">
        <f>IF(OR(E33="",E33=0,H33=""),"",H33/E33)</f>
        <v/>
      </c>
      <c r="N33" s="10">
        <f>IF(OR(E33="",J33=""),"",J33-E33)</f>
        <v/>
      </c>
      <c r="O33" s="26" t="n"/>
      <c r="P33" s="25" t="n"/>
    </row>
    <row r="34">
      <c r="A34" s="25" t="n"/>
      <c r="B34" s="25" t="n"/>
      <c r="C34" s="26" t="n"/>
      <c r="D34" s="26" t="n"/>
      <c r="E34" s="27" t="n"/>
      <c r="F34" s="26" t="n"/>
      <c r="G34" s="28" t="n"/>
      <c r="H34" s="27" t="n"/>
      <c r="I34" s="27" t="n"/>
      <c r="J34" s="27" t="n"/>
      <c r="K34" s="10">
        <f>IF(OR(E34="",I34=""),"",E34-I34)</f>
        <v/>
      </c>
      <c r="L34" s="10">
        <f>IF(OR(E34="",H34=""),"",E34-H34)</f>
        <v/>
      </c>
      <c r="M34" s="11">
        <f>IF(OR(E34="",E34=0,H34=""),"",H34/E34)</f>
        <v/>
      </c>
      <c r="N34" s="10">
        <f>IF(OR(E34="",J34=""),"",J34-E34)</f>
        <v/>
      </c>
      <c r="O34" s="26" t="n"/>
      <c r="P34" s="25" t="n"/>
    </row>
    <row r="35">
      <c r="A35" s="25" t="n"/>
      <c r="B35" s="25" t="n"/>
      <c r="C35" s="26" t="n"/>
      <c r="D35" s="26" t="n"/>
      <c r="E35" s="27" t="n"/>
      <c r="F35" s="26" t="n"/>
      <c r="G35" s="28" t="n"/>
      <c r="H35" s="27" t="n"/>
      <c r="I35" s="27" t="n"/>
      <c r="J35" s="27" t="n"/>
      <c r="K35" s="10">
        <f>IF(OR(E35="",I35=""),"",E35-I35)</f>
        <v/>
      </c>
      <c r="L35" s="10">
        <f>IF(OR(E35="",H35=""),"",E35-H35)</f>
        <v/>
      </c>
      <c r="M35" s="11">
        <f>IF(OR(E35="",E35=0,H35=""),"",H35/E35)</f>
        <v/>
      </c>
      <c r="N35" s="10">
        <f>IF(OR(E35="",J35=""),"",J35-E35)</f>
        <v/>
      </c>
      <c r="O35" s="26" t="n"/>
      <c r="P35" s="25" t="n"/>
    </row>
    <row r="36">
      <c r="A36" s="25" t="n"/>
      <c r="B36" s="25" t="n"/>
      <c r="C36" s="26" t="n"/>
      <c r="D36" s="26" t="n"/>
      <c r="E36" s="27" t="n"/>
      <c r="F36" s="26" t="n"/>
      <c r="G36" s="28" t="n"/>
      <c r="H36" s="27" t="n"/>
      <c r="I36" s="27" t="n"/>
      <c r="J36" s="27" t="n"/>
      <c r="K36" s="10">
        <f>IF(OR(E36="",I36=""),"",E36-I36)</f>
        <v/>
      </c>
      <c r="L36" s="10">
        <f>IF(OR(E36="",H36=""),"",E36-H36)</f>
        <v/>
      </c>
      <c r="M36" s="11">
        <f>IF(OR(E36="",E36=0,H36=""),"",H36/E36)</f>
        <v/>
      </c>
      <c r="N36" s="10">
        <f>IF(OR(E36="",J36=""),"",J36-E36)</f>
        <v/>
      </c>
      <c r="O36" s="26" t="n"/>
      <c r="P36" s="25" t="n"/>
    </row>
    <row r="37">
      <c r="A37" s="25" t="n"/>
      <c r="B37" s="25" t="n"/>
      <c r="C37" s="26" t="n"/>
      <c r="D37" s="26" t="n"/>
      <c r="E37" s="27" t="n"/>
      <c r="F37" s="26" t="n"/>
      <c r="G37" s="28" t="n"/>
      <c r="H37" s="27" t="n"/>
      <c r="I37" s="27" t="n"/>
      <c r="J37" s="27" t="n"/>
      <c r="K37" s="10">
        <f>IF(OR(E37="",I37=""),"",E37-I37)</f>
        <v/>
      </c>
      <c r="L37" s="10">
        <f>IF(OR(E37="",H37=""),"",E37-H37)</f>
        <v/>
      </c>
      <c r="M37" s="11">
        <f>IF(OR(E37="",E37=0,H37=""),"",H37/E37)</f>
        <v/>
      </c>
      <c r="N37" s="10">
        <f>IF(OR(E37="",J37=""),"",J37-E37)</f>
        <v/>
      </c>
      <c r="O37" s="26" t="n"/>
      <c r="P37" s="25" t="n"/>
    </row>
    <row r="38">
      <c r="A38" s="25" t="n"/>
      <c r="B38" s="25" t="n"/>
      <c r="C38" s="26" t="n"/>
      <c r="D38" s="26" t="n"/>
      <c r="E38" s="27" t="n"/>
      <c r="F38" s="26" t="n"/>
      <c r="G38" s="28" t="n"/>
      <c r="H38" s="27" t="n"/>
      <c r="I38" s="27" t="n"/>
      <c r="J38" s="27" t="n"/>
      <c r="K38" s="10">
        <f>IF(OR(E38="",I38=""),"",E38-I38)</f>
        <v/>
      </c>
      <c r="L38" s="10">
        <f>IF(OR(E38="",H38=""),"",E38-H38)</f>
        <v/>
      </c>
      <c r="M38" s="11">
        <f>IF(OR(E38="",E38=0,H38=""),"",H38/E38)</f>
        <v/>
      </c>
      <c r="N38" s="10">
        <f>IF(OR(E38="",J38=""),"",J38-E38)</f>
        <v/>
      </c>
      <c r="O38" s="26" t="n"/>
      <c r="P38" s="25" t="n"/>
    </row>
    <row r="39">
      <c r="A39" s="25" t="n"/>
      <c r="B39" s="25" t="n"/>
      <c r="C39" s="26" t="n"/>
      <c r="D39" s="26" t="n"/>
      <c r="E39" s="27" t="n"/>
      <c r="F39" s="26" t="n"/>
      <c r="G39" s="28" t="n"/>
      <c r="H39" s="27" t="n"/>
      <c r="I39" s="27" t="n"/>
      <c r="J39" s="27" t="n"/>
      <c r="K39" s="10">
        <f>IF(OR(E39="",I39=""),"",E39-I39)</f>
        <v/>
      </c>
      <c r="L39" s="10">
        <f>IF(OR(E39="",H39=""),"",E39-H39)</f>
        <v/>
      </c>
      <c r="M39" s="11">
        <f>IF(OR(E39="",E39=0,H39=""),"",H39/E39)</f>
        <v/>
      </c>
      <c r="N39" s="10">
        <f>IF(OR(E39="",J39=""),"",J39-E39)</f>
        <v/>
      </c>
      <c r="O39" s="26" t="n"/>
      <c r="P39" s="25" t="n"/>
    </row>
    <row r="40">
      <c r="A40" s="25" t="n"/>
      <c r="B40" s="25" t="n"/>
      <c r="C40" s="26" t="n"/>
      <c r="D40" s="26" t="n"/>
      <c r="E40" s="27" t="n"/>
      <c r="F40" s="26" t="n"/>
      <c r="G40" s="28" t="n"/>
      <c r="H40" s="27" t="n"/>
      <c r="I40" s="27" t="n"/>
      <c r="J40" s="27" t="n"/>
      <c r="K40" s="10">
        <f>IF(OR(E40="",I40=""),"",E40-I40)</f>
        <v/>
      </c>
      <c r="L40" s="10">
        <f>IF(OR(E40="",H40=""),"",E40-H40)</f>
        <v/>
      </c>
      <c r="M40" s="11">
        <f>IF(OR(E40="",E40=0,H40=""),"",H40/E40)</f>
        <v/>
      </c>
      <c r="N40" s="10">
        <f>IF(OR(E40="",J40=""),"",J40-E40)</f>
        <v/>
      </c>
      <c r="O40" s="26" t="n"/>
      <c r="P40" s="25" t="n"/>
    </row>
    <row r="41">
      <c r="A41" s="25" t="n"/>
      <c r="B41" s="25" t="n"/>
      <c r="C41" s="26" t="n"/>
      <c r="D41" s="26" t="n"/>
      <c r="E41" s="27" t="n"/>
      <c r="F41" s="26" t="n"/>
      <c r="G41" s="28" t="n"/>
      <c r="H41" s="27" t="n"/>
      <c r="I41" s="27" t="n"/>
      <c r="J41" s="27" t="n"/>
      <c r="K41" s="10">
        <f>IF(OR(E41="",I41=""),"",E41-I41)</f>
        <v/>
      </c>
      <c r="L41" s="10">
        <f>IF(OR(E41="",H41=""),"",E41-H41)</f>
        <v/>
      </c>
      <c r="M41" s="11">
        <f>IF(OR(E41="",E41=0,H41=""),"",H41/E41)</f>
        <v/>
      </c>
      <c r="N41" s="10">
        <f>IF(OR(E41="",J41=""),"",J41-E41)</f>
        <v/>
      </c>
      <c r="O41" s="26" t="n"/>
      <c r="P41" s="25" t="n"/>
    </row>
    <row r="42">
      <c r="A42" s="25" t="n"/>
      <c r="B42" s="25" t="n"/>
      <c r="C42" s="26" t="n"/>
      <c r="D42" s="26" t="n"/>
      <c r="E42" s="27" t="n"/>
      <c r="F42" s="26" t="n"/>
      <c r="G42" s="28" t="n"/>
      <c r="H42" s="27" t="n"/>
      <c r="I42" s="27" t="n"/>
      <c r="J42" s="27" t="n"/>
      <c r="K42" s="10">
        <f>IF(OR(E42="",I42=""),"",E42-I42)</f>
        <v/>
      </c>
      <c r="L42" s="10">
        <f>IF(OR(E42="",H42=""),"",E42-H42)</f>
        <v/>
      </c>
      <c r="M42" s="11">
        <f>IF(OR(E42="",E42=0,H42=""),"",H42/E42)</f>
        <v/>
      </c>
      <c r="N42" s="10">
        <f>IF(OR(E42="",J42=""),"",J42-E42)</f>
        <v/>
      </c>
      <c r="O42" s="26" t="n"/>
      <c r="P42" s="25" t="n"/>
    </row>
    <row r="43">
      <c r="A43" s="25" t="n"/>
      <c r="B43" s="25" t="n"/>
      <c r="C43" s="26" t="n"/>
      <c r="D43" s="26" t="n"/>
      <c r="E43" s="27" t="n"/>
      <c r="F43" s="26" t="n"/>
      <c r="G43" s="28" t="n"/>
      <c r="H43" s="27" t="n"/>
      <c r="I43" s="27" t="n"/>
      <c r="J43" s="27" t="n"/>
      <c r="K43" s="10">
        <f>IF(OR(E43="",I43=""),"",E43-I43)</f>
        <v/>
      </c>
      <c r="L43" s="10">
        <f>IF(OR(E43="",H43=""),"",E43-H43)</f>
        <v/>
      </c>
      <c r="M43" s="11">
        <f>IF(OR(E43="",E43=0,H43=""),"",H43/E43)</f>
        <v/>
      </c>
      <c r="N43" s="10">
        <f>IF(OR(E43="",J43=""),"",J43-E43)</f>
        <v/>
      </c>
      <c r="O43" s="26" t="n"/>
      <c r="P43" s="25" t="n"/>
    </row>
    <row r="44">
      <c r="A44" s="25" t="n"/>
      <c r="B44" s="25" t="n"/>
      <c r="C44" s="26" t="n"/>
      <c r="D44" s="26" t="n"/>
      <c r="E44" s="27" t="n"/>
      <c r="F44" s="26" t="n"/>
      <c r="G44" s="28" t="n"/>
      <c r="H44" s="27" t="n"/>
      <c r="I44" s="27" t="n"/>
      <c r="J44" s="27" t="n"/>
      <c r="K44" s="10">
        <f>IF(OR(E44="",I44=""),"",E44-I44)</f>
        <v/>
      </c>
      <c r="L44" s="10">
        <f>IF(OR(E44="",H44=""),"",E44-H44)</f>
        <v/>
      </c>
      <c r="M44" s="11">
        <f>IF(OR(E44="",E44=0,H44=""),"",H44/E44)</f>
        <v/>
      </c>
      <c r="N44" s="10">
        <f>IF(OR(E44="",J44=""),"",J44-E44)</f>
        <v/>
      </c>
      <c r="O44" s="26" t="n"/>
      <c r="P44" s="25" t="n"/>
    </row>
    <row r="45">
      <c r="A45" s="25" t="n"/>
      <c r="B45" s="25" t="n"/>
      <c r="C45" s="26" t="n"/>
      <c r="D45" s="26" t="n"/>
      <c r="E45" s="27" t="n"/>
      <c r="F45" s="26" t="n"/>
      <c r="G45" s="28" t="n"/>
      <c r="H45" s="27" t="n"/>
      <c r="I45" s="27" t="n"/>
      <c r="J45" s="27" t="n"/>
      <c r="K45" s="10">
        <f>IF(OR(E45="",I45=""),"",E45-I45)</f>
        <v/>
      </c>
      <c r="L45" s="10">
        <f>IF(OR(E45="",H45=""),"",E45-H45)</f>
        <v/>
      </c>
      <c r="M45" s="11">
        <f>IF(OR(E45="",E45=0,H45=""),"",H45/E45)</f>
        <v/>
      </c>
      <c r="N45" s="10">
        <f>IF(OR(E45="",J45=""),"",J45-E45)</f>
        <v/>
      </c>
      <c r="O45" s="26" t="n"/>
      <c r="P45" s="25" t="n"/>
    </row>
    <row r="46">
      <c r="A46" s="25" t="n"/>
      <c r="B46" s="25" t="n"/>
      <c r="C46" s="26" t="n"/>
      <c r="D46" s="26" t="n"/>
      <c r="E46" s="27" t="n"/>
      <c r="F46" s="26" t="n"/>
      <c r="G46" s="28" t="n"/>
      <c r="H46" s="27" t="n"/>
      <c r="I46" s="27" t="n"/>
      <c r="J46" s="27" t="n"/>
      <c r="K46" s="10">
        <f>IF(OR(E46="",I46=""),"",E46-I46)</f>
        <v/>
      </c>
      <c r="L46" s="10">
        <f>IF(OR(E46="",H46=""),"",E46-H46)</f>
        <v/>
      </c>
      <c r="M46" s="11">
        <f>IF(OR(E46="",E46=0,H46=""),"",H46/E46)</f>
        <v/>
      </c>
      <c r="N46" s="10">
        <f>IF(OR(E46="",J46=""),"",J46-E46)</f>
        <v/>
      </c>
      <c r="O46" s="26" t="n"/>
      <c r="P46" s="25" t="n"/>
    </row>
    <row r="47">
      <c r="A47" s="25" t="n"/>
      <c r="B47" s="25" t="n"/>
      <c r="C47" s="26" t="n"/>
      <c r="D47" s="26" t="n"/>
      <c r="E47" s="27" t="n"/>
      <c r="F47" s="26" t="n"/>
      <c r="G47" s="28" t="n"/>
      <c r="H47" s="27" t="n"/>
      <c r="I47" s="27" t="n"/>
      <c r="J47" s="27" t="n"/>
      <c r="K47" s="10">
        <f>IF(OR(E47="",I47=""),"",E47-I47)</f>
        <v/>
      </c>
      <c r="L47" s="10">
        <f>IF(OR(E47="",H47=""),"",E47-H47)</f>
        <v/>
      </c>
      <c r="M47" s="11">
        <f>IF(OR(E47="",E47=0,H47=""),"",H47/E47)</f>
        <v/>
      </c>
      <c r="N47" s="10">
        <f>IF(OR(E47="",J47=""),"",J47-E47)</f>
        <v/>
      </c>
      <c r="O47" s="26" t="n"/>
      <c r="P47" s="25" t="n"/>
    </row>
    <row r="48">
      <c r="A48" s="25" t="n"/>
      <c r="B48" s="25" t="n"/>
      <c r="C48" s="26" t="n"/>
      <c r="D48" s="26" t="n"/>
      <c r="E48" s="27" t="n"/>
      <c r="F48" s="26" t="n"/>
      <c r="G48" s="28" t="n"/>
      <c r="H48" s="27" t="n"/>
      <c r="I48" s="27" t="n"/>
      <c r="J48" s="27" t="n"/>
      <c r="K48" s="10">
        <f>IF(OR(E48="",I48=""),"",E48-I48)</f>
        <v/>
      </c>
      <c r="L48" s="10">
        <f>IF(OR(E48="",H48=""),"",E48-H48)</f>
        <v/>
      </c>
      <c r="M48" s="11">
        <f>IF(OR(E48="",E48=0,H48=""),"",H48/E48)</f>
        <v/>
      </c>
      <c r="N48" s="10">
        <f>IF(OR(E48="",J48=""),"",J48-E48)</f>
        <v/>
      </c>
      <c r="O48" s="26" t="n"/>
      <c r="P48" s="25" t="n"/>
    </row>
    <row r="49">
      <c r="A49" s="25" t="n"/>
      <c r="B49" s="25" t="n"/>
      <c r="C49" s="26" t="n"/>
      <c r="D49" s="26" t="n"/>
      <c r="E49" s="27" t="n"/>
      <c r="F49" s="26" t="n"/>
      <c r="G49" s="28" t="n"/>
      <c r="H49" s="27" t="n"/>
      <c r="I49" s="27" t="n"/>
      <c r="J49" s="27" t="n"/>
      <c r="K49" s="10">
        <f>IF(OR(E49="",I49=""),"",E49-I49)</f>
        <v/>
      </c>
      <c r="L49" s="10">
        <f>IF(OR(E49="",H49=""),"",E49-H49)</f>
        <v/>
      </c>
      <c r="M49" s="11">
        <f>IF(OR(E49="",E49=0,H49=""),"",H49/E49)</f>
        <v/>
      </c>
      <c r="N49" s="10">
        <f>IF(OR(E49="",J49=""),"",J49-E49)</f>
        <v/>
      </c>
      <c r="O49" s="26" t="n"/>
      <c r="P49" s="25" t="n"/>
    </row>
    <row r="50">
      <c r="A50" s="25" t="n"/>
      <c r="B50" s="25" t="n"/>
      <c r="C50" s="26" t="n"/>
      <c r="D50" s="26" t="n"/>
      <c r="E50" s="27" t="n"/>
      <c r="F50" s="26" t="n"/>
      <c r="G50" s="28" t="n"/>
      <c r="H50" s="27" t="n"/>
      <c r="I50" s="27" t="n"/>
      <c r="J50" s="27" t="n"/>
      <c r="K50" s="10">
        <f>IF(OR(E50="",I50=""),"",E50-I50)</f>
        <v/>
      </c>
      <c r="L50" s="10">
        <f>IF(OR(E50="",H50=""),"",E50-H50)</f>
        <v/>
      </c>
      <c r="M50" s="11">
        <f>IF(OR(E50="",E50=0,H50=""),"",H50/E50)</f>
        <v/>
      </c>
      <c r="N50" s="10">
        <f>IF(OR(E50="",J50=""),"",J50-E50)</f>
        <v/>
      </c>
      <c r="O50" s="26" t="n"/>
      <c r="P50" s="25" t="n"/>
    </row>
    <row r="51">
      <c r="A51" s="25" t="n"/>
      <c r="B51" s="25" t="n"/>
      <c r="C51" s="26" t="n"/>
      <c r="D51" s="26" t="n"/>
      <c r="E51" s="27" t="n"/>
      <c r="F51" s="26" t="n"/>
      <c r="G51" s="28" t="n"/>
      <c r="H51" s="27" t="n"/>
      <c r="I51" s="27" t="n"/>
      <c r="J51" s="27" t="n"/>
      <c r="K51" s="10">
        <f>IF(OR(E51="",I51=""),"",E51-I51)</f>
        <v/>
      </c>
      <c r="L51" s="10">
        <f>IF(OR(E51="",H51=""),"",E51-H51)</f>
        <v/>
      </c>
      <c r="M51" s="11">
        <f>IF(OR(E51="",E51=0,H51=""),"",H51/E51)</f>
        <v/>
      </c>
      <c r="N51" s="10">
        <f>IF(OR(E51="",J51=""),"",J51-E51)</f>
        <v/>
      </c>
      <c r="O51" s="26" t="n"/>
      <c r="P51" s="25" t="n"/>
    </row>
    <row r="52">
      <c r="A52" s="12" t="inlineStr">
        <is>
          <t>LOB TOTALS</t>
        </is>
      </c>
      <c r="B52" s="12" t="n"/>
      <c r="C52" s="12" t="n"/>
      <c r="D52" s="12" t="n"/>
      <c r="E52" s="13">
        <f>SUMIF(A12:A51,"&lt;&gt;",E12:E51)</f>
        <v/>
      </c>
      <c r="F52" s="12" t="n"/>
      <c r="G52" s="12" t="n"/>
      <c r="H52" s="13">
        <f>SUMIF(A12:A51,"&lt;&gt;",H12:H51)</f>
        <v/>
      </c>
      <c r="I52" s="13">
        <f>SUMIF(A12:A51,"&lt;&gt;",I12:I51)</f>
        <v/>
      </c>
      <c r="J52" s="13">
        <f>SUMIF(A12:A51,"&lt;&gt;",J12:J51)</f>
        <v/>
      </c>
      <c r="K52" s="13">
        <f>SUMIF(A12:A51,"&lt;&gt;",K12:K51)</f>
        <v/>
      </c>
      <c r="L52" s="13">
        <f>SUMIF(A12:A51,"&lt;&gt;",L12:L51)</f>
        <v/>
      </c>
      <c r="M52" s="14">
        <f>IF(OR(E52="",E52=0),"",H52/E52)</f>
        <v/>
      </c>
      <c r="N52" s="13">
        <f>SUMIF(A12:A51,"&lt;&gt;",N12:N51)</f>
        <v/>
      </c>
      <c r="O52" s="12" t="n"/>
      <c r="P52" s="12" t="n"/>
    </row>
    <row r="54">
      <c r="A54" s="29" t="inlineStr">
        <is>
          <t>Legend: Yellow = input  |  Green = formula  |  Grey = totals  |  Blue = LOB KPIs</t>
        </is>
      </c>
    </row>
  </sheetData>
  <autoFilter ref="A11:P51"/>
  <mergeCells count="4">
    <mergeCell ref="A6:P6"/>
    <mergeCell ref="A10:P10"/>
    <mergeCell ref="A1:P1"/>
    <mergeCell ref="A2:P2"/>
  </mergeCells>
  <conditionalFormatting sqref="M12:M51">
    <cfRule type="cellIs" priority="1" operator="greaterThan" dxfId="0">
      <formula>0.9</formula>
    </cfRule>
  </conditionalFormatting>
  <conditionalFormatting sqref="N12:N51">
    <cfRule type="cellIs" priority="2" operator="greaterThan" dxfId="0">
      <formula>0</formula>
    </cfRule>
  </conditionalFormatting>
  <conditionalFormatting sqref="L7">
    <cfRule type="cellIs" priority="3" operator="greaterThan" dxfId="0">
      <formula>0.9</formula>
    </cfRule>
  </conditionalFormatting>
  <conditionalFormatting sqref="N7">
    <cfRule type="cellIs" priority="4" operator="greaterThan" dxfId="0">
      <formula>0</formula>
    </cfRule>
  </conditionalFormatting>
  <dataValidations count="3">
    <dataValidation sqref="C12:C51" showDropDown="0" showInputMessage="0" showErrorMessage="0" allowBlank="1" type="list">
      <formula1>"Contractor,Permanent FTEs,Tooling,Infrastructure,Professional services,Travel,Other"</formula1>
    </dataValidation>
    <dataValidation sqref="O12:O51" showDropDown="0" showInputMessage="0" showErrorMessage="0" allowBlank="1" type="list">
      <formula1>"On track,At risk,Overspent,Not started,Closed"</formula1>
    </dataValidation>
    <dataValidation sqref="F4" showDropDown="0" showInputMessage="0" showErrorMessage="0" allowBlank="1" type="list">
      <formula1>"FY25,FY26,FY27,FY26 H1,FY26 H2,FY26 Q1,FY26 Q2,FY26 Q3,FY26 Q4"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22" customWidth="1" min="2" max="2"/>
    <col width="14" customWidth="1" min="3" max="3"/>
    <col width="20" customWidth="1" min="4" max="4"/>
    <col width="16" customWidth="1" min="5" max="5"/>
    <col width="18" customWidth="1" min="6" max="6"/>
    <col width="13" customWidth="1" min="7" max="7"/>
    <col width="14" customWidth="1" min="8" max="8"/>
    <col width="12" customWidth="1" min="9" max="9"/>
    <col width="14" customWidth="1" min="10" max="10"/>
    <col width="12" customWidth="1" min="11" max="11"/>
    <col width="12" customWidth="1" min="12" max="12"/>
    <col width="10" customWidth="1" min="13" max="13"/>
    <col width="14" customWidth="1" min="14" max="14"/>
    <col width="12" customWidth="1" min="15" max="15"/>
    <col width="24" customWidth="1" min="16" max="16"/>
  </cols>
  <sheetData>
    <row r="1" ht="28" customHeight="1">
      <c r="A1" s="18" t="inlineStr">
        <is>
          <t>LOB Budget View — Enterprise</t>
        </is>
      </c>
    </row>
    <row r="2">
      <c r="A2" s="4" t="inlineStr">
        <is>
          <t>Per-LOB consolidated view. Yellow = enter. Green = calculated. One row per project / workstream in this LOB. Cross-LOB Summary rolls these sheets up.</t>
        </is>
      </c>
    </row>
    <row r="4">
      <c r="A4" s="19" t="inlineStr">
        <is>
          <t>LOB</t>
        </is>
      </c>
      <c r="B4" s="6" t="inlineStr">
        <is>
          <t>Enterprise</t>
        </is>
      </c>
      <c r="C4" s="19" t="inlineStr">
        <is>
          <t>Primary HOE</t>
        </is>
      </c>
      <c r="D4" s="6" t="inlineStr"/>
      <c r="E4" s="19" t="inlineStr">
        <is>
          <t>FY / Period</t>
        </is>
      </c>
      <c r="F4" s="6" t="inlineStr">
        <is>
          <t>FY26</t>
        </is>
      </c>
      <c r="G4" s="19" t="inlineStr">
        <is>
          <t>Currency</t>
        </is>
      </c>
      <c r="H4" s="6" t="inlineStr">
        <is>
          <t>AUD</t>
        </is>
      </c>
      <c r="I4" s="19" t="inlineStr">
        <is>
          <t>Last updated</t>
        </is>
      </c>
      <c r="J4" s="20" t="inlineStr">
        <is>
          <t>2026-10-06</t>
        </is>
      </c>
    </row>
    <row r="6">
      <c r="A6" s="15" t="inlineStr">
        <is>
          <t>LOB SUMMARY (auto from detail below)</t>
        </is>
      </c>
    </row>
    <row r="7">
      <c r="A7" s="21" t="inlineStr"/>
      <c r="B7" s="22">
        <f>SUMIF(A12:A51,"&lt;&gt;",E12:E51)</f>
        <v/>
      </c>
      <c r="C7" s="21" t="inlineStr"/>
      <c r="D7" s="22">
        <f>SUMIF(A12:A51,"&lt;&gt;",H12:H51)</f>
        <v/>
      </c>
      <c r="E7" s="21" t="inlineStr"/>
      <c r="F7" s="22">
        <f>SUMIF(A12:A51,"&lt;&gt;",I12:I51)</f>
        <v/>
      </c>
      <c r="G7" s="21" t="inlineStr"/>
      <c r="H7" s="22">
        <f>SUMIF(A12:A51,"&lt;&gt;",J12:J51)</f>
        <v/>
      </c>
      <c r="I7" s="21" t="inlineStr"/>
      <c r="J7" s="22">
        <f>IF(B7="","",B7-D7)</f>
        <v/>
      </c>
      <c r="K7" s="21" t="inlineStr"/>
      <c r="L7" s="23">
        <f>IF(OR(B7="",B7=0),"",D7/B7)</f>
        <v/>
      </c>
      <c r="M7" s="21" t="inlineStr"/>
      <c r="N7" s="22">
        <f>IF(OR(B7="",H7=""),"",H7-B7)</f>
        <v/>
      </c>
    </row>
    <row r="8">
      <c r="A8" s="24" t="inlineStr">
        <is>
          <t>Total Approved</t>
        </is>
      </c>
      <c r="B8" s="21" t="inlineStr"/>
      <c r="C8" s="24" t="inlineStr">
        <is>
          <t>Total Spent</t>
        </is>
      </c>
      <c r="D8" s="21" t="inlineStr"/>
      <c r="E8" s="24" t="inlineStr">
        <is>
          <t>Unallocated</t>
        </is>
      </c>
      <c r="F8" s="21" t="inlineStr"/>
      <c r="G8" s="24" t="inlineStr">
        <is>
          <t>Forecasted Spend</t>
        </is>
      </c>
      <c r="H8" s="21" t="inlineStr"/>
      <c r="I8" s="24" t="inlineStr">
        <is>
          <t>Remaining</t>
        </is>
      </c>
      <c r="J8" s="21" t="inlineStr"/>
      <c r="K8" s="24" t="inlineStr">
        <is>
          <t>% of Approved Spent</t>
        </is>
      </c>
      <c r="L8" s="21" t="inlineStr"/>
      <c r="M8" s="24" t="inlineStr">
        <is>
          <t>Forecast vs Approved</t>
        </is>
      </c>
      <c r="N8" s="21" t="inlineStr"/>
    </row>
    <row r="10">
      <c r="A10" s="4" t="inlineStr">
        <is>
          <t>Detail by project (enter below). Use filter on Managed by (HOE) to focus one HOE.</t>
        </is>
      </c>
    </row>
    <row r="11" ht="34" customHeight="1">
      <c r="A11" s="5" t="inlineStr">
        <is>
          <t>Project / Workstream</t>
        </is>
      </c>
      <c r="B11" s="5" t="inlineStr">
        <is>
          <t>Initiative / Cost centre</t>
        </is>
      </c>
      <c r="C11" s="5" t="inlineStr">
        <is>
          <t>Cost category</t>
        </is>
      </c>
      <c r="D11" s="5" t="inlineStr">
        <is>
          <t>Managed by (HOE)</t>
        </is>
      </c>
      <c r="E11" s="5" t="inlineStr">
        <is>
          <t>Total Budget Approved</t>
        </is>
      </c>
      <c r="F11" s="5" t="inlineStr">
        <is>
          <t>Approved By</t>
        </is>
      </c>
      <c r="G11" s="5" t="inlineStr">
        <is>
          <t>Approval Date</t>
        </is>
      </c>
      <c r="H11" s="5" t="inlineStr">
        <is>
          <t>Spent (Actual)</t>
        </is>
      </c>
      <c r="I11" s="5" t="inlineStr">
        <is>
          <t>Unallocated</t>
        </is>
      </c>
      <c r="J11" s="5" t="inlineStr">
        <is>
          <t>Forecasted Spend</t>
        </is>
      </c>
      <c r="K11" s="5" t="inlineStr">
        <is>
          <t>Allocated</t>
        </is>
      </c>
      <c r="L11" s="5" t="inlineStr">
        <is>
          <t>Remaining</t>
        </is>
      </c>
      <c r="M11" s="5" t="inlineStr">
        <is>
          <t>% Spent</t>
        </is>
      </c>
      <c r="N11" s="5" t="inlineStr">
        <is>
          <t>Forecast vs Approved</t>
        </is>
      </c>
      <c r="O11" s="5" t="inlineStr">
        <is>
          <t>Status</t>
        </is>
      </c>
      <c r="P11" s="5" t="inlineStr">
        <is>
          <t>Notes</t>
        </is>
      </c>
    </row>
    <row r="12">
      <c r="A12" s="25" t="n"/>
      <c r="B12" s="25" t="n"/>
      <c r="C12" s="26" t="n"/>
      <c r="D12" s="26" t="n"/>
      <c r="E12" s="27" t="n"/>
      <c r="F12" s="26" t="n"/>
      <c r="G12" s="28" t="n"/>
      <c r="H12" s="27" t="n"/>
      <c r="I12" s="27" t="n"/>
      <c r="J12" s="27" t="n"/>
      <c r="K12" s="10">
        <f>IF(OR(E12="",I12=""),"",E12-I12)</f>
        <v/>
      </c>
      <c r="L12" s="10">
        <f>IF(OR(E12="",H12=""),"",E12-H12)</f>
        <v/>
      </c>
      <c r="M12" s="11">
        <f>IF(OR(E12="",E12=0,H12=""),"",H12/E12)</f>
        <v/>
      </c>
      <c r="N12" s="10">
        <f>IF(OR(E12="",J12=""),"",J12-E12)</f>
        <v/>
      </c>
      <c r="O12" s="26" t="n"/>
      <c r="P12" s="25" t="n"/>
    </row>
    <row r="13">
      <c r="A13" s="25" t="n"/>
      <c r="B13" s="25" t="n"/>
      <c r="C13" s="26" t="n"/>
      <c r="D13" s="26" t="n"/>
      <c r="E13" s="27" t="n"/>
      <c r="F13" s="26" t="n"/>
      <c r="G13" s="28" t="n"/>
      <c r="H13" s="27" t="n"/>
      <c r="I13" s="27" t="n"/>
      <c r="J13" s="27" t="n"/>
      <c r="K13" s="10">
        <f>IF(OR(E13="",I13=""),"",E13-I13)</f>
        <v/>
      </c>
      <c r="L13" s="10">
        <f>IF(OR(E13="",H13=""),"",E13-H13)</f>
        <v/>
      </c>
      <c r="M13" s="11">
        <f>IF(OR(E13="",E13=0,H13=""),"",H13/E13)</f>
        <v/>
      </c>
      <c r="N13" s="10">
        <f>IF(OR(E13="",J13=""),"",J13-E13)</f>
        <v/>
      </c>
      <c r="O13" s="26" t="n"/>
      <c r="P13" s="25" t="n"/>
    </row>
    <row r="14">
      <c r="A14" s="25" t="n"/>
      <c r="B14" s="25" t="n"/>
      <c r="C14" s="26" t="n"/>
      <c r="D14" s="26" t="n"/>
      <c r="E14" s="27" t="n"/>
      <c r="F14" s="26" t="n"/>
      <c r="G14" s="28" t="n"/>
      <c r="H14" s="27" t="n"/>
      <c r="I14" s="27" t="n"/>
      <c r="J14" s="27" t="n"/>
      <c r="K14" s="10">
        <f>IF(OR(E14="",I14=""),"",E14-I14)</f>
        <v/>
      </c>
      <c r="L14" s="10">
        <f>IF(OR(E14="",H14=""),"",E14-H14)</f>
        <v/>
      </c>
      <c r="M14" s="11">
        <f>IF(OR(E14="",E14=0,H14=""),"",H14/E14)</f>
        <v/>
      </c>
      <c r="N14" s="10">
        <f>IF(OR(E14="",J14=""),"",J14-E14)</f>
        <v/>
      </c>
      <c r="O14" s="26" t="n"/>
      <c r="P14" s="25" t="n"/>
    </row>
    <row r="15">
      <c r="A15" s="25" t="n"/>
      <c r="B15" s="25" t="n"/>
      <c r="C15" s="26" t="n"/>
      <c r="D15" s="26" t="n"/>
      <c r="E15" s="27" t="n"/>
      <c r="F15" s="26" t="n"/>
      <c r="G15" s="28" t="n"/>
      <c r="H15" s="27" t="n"/>
      <c r="I15" s="27" t="n"/>
      <c r="J15" s="27" t="n"/>
      <c r="K15" s="10">
        <f>IF(OR(E15="",I15=""),"",E15-I15)</f>
        <v/>
      </c>
      <c r="L15" s="10">
        <f>IF(OR(E15="",H15=""),"",E15-H15)</f>
        <v/>
      </c>
      <c r="M15" s="11">
        <f>IF(OR(E15="",E15=0,H15=""),"",H15/E15)</f>
        <v/>
      </c>
      <c r="N15" s="10">
        <f>IF(OR(E15="",J15=""),"",J15-E15)</f>
        <v/>
      </c>
      <c r="O15" s="26" t="n"/>
      <c r="P15" s="25" t="n"/>
    </row>
    <row r="16">
      <c r="A16" s="25" t="n"/>
      <c r="B16" s="25" t="n"/>
      <c r="C16" s="26" t="n"/>
      <c r="D16" s="26" t="n"/>
      <c r="E16" s="27" t="n"/>
      <c r="F16" s="26" t="n"/>
      <c r="G16" s="28" t="n"/>
      <c r="H16" s="27" t="n"/>
      <c r="I16" s="27" t="n"/>
      <c r="J16" s="27" t="n"/>
      <c r="K16" s="10">
        <f>IF(OR(E16="",I16=""),"",E16-I16)</f>
        <v/>
      </c>
      <c r="L16" s="10">
        <f>IF(OR(E16="",H16=""),"",E16-H16)</f>
        <v/>
      </c>
      <c r="M16" s="11">
        <f>IF(OR(E16="",E16=0,H16=""),"",H16/E16)</f>
        <v/>
      </c>
      <c r="N16" s="10">
        <f>IF(OR(E16="",J16=""),"",J16-E16)</f>
        <v/>
      </c>
      <c r="O16" s="26" t="n"/>
      <c r="P16" s="25" t="n"/>
    </row>
    <row r="17">
      <c r="A17" s="25" t="n"/>
      <c r="B17" s="25" t="n"/>
      <c r="C17" s="26" t="n"/>
      <c r="D17" s="26" t="n"/>
      <c r="E17" s="27" t="n"/>
      <c r="F17" s="26" t="n"/>
      <c r="G17" s="28" t="n"/>
      <c r="H17" s="27" t="n"/>
      <c r="I17" s="27" t="n"/>
      <c r="J17" s="27" t="n"/>
      <c r="K17" s="10">
        <f>IF(OR(E17="",I17=""),"",E17-I17)</f>
        <v/>
      </c>
      <c r="L17" s="10">
        <f>IF(OR(E17="",H17=""),"",E17-H17)</f>
        <v/>
      </c>
      <c r="M17" s="11">
        <f>IF(OR(E17="",E17=0,H17=""),"",H17/E17)</f>
        <v/>
      </c>
      <c r="N17" s="10">
        <f>IF(OR(E17="",J17=""),"",J17-E17)</f>
        <v/>
      </c>
      <c r="O17" s="26" t="n"/>
      <c r="P17" s="25" t="n"/>
    </row>
    <row r="18">
      <c r="A18" s="25" t="n"/>
      <c r="B18" s="25" t="n"/>
      <c r="C18" s="26" t="n"/>
      <c r="D18" s="26" t="n"/>
      <c r="E18" s="27" t="n"/>
      <c r="F18" s="26" t="n"/>
      <c r="G18" s="28" t="n"/>
      <c r="H18" s="27" t="n"/>
      <c r="I18" s="27" t="n"/>
      <c r="J18" s="27" t="n"/>
      <c r="K18" s="10">
        <f>IF(OR(E18="",I18=""),"",E18-I18)</f>
        <v/>
      </c>
      <c r="L18" s="10">
        <f>IF(OR(E18="",H18=""),"",E18-H18)</f>
        <v/>
      </c>
      <c r="M18" s="11">
        <f>IF(OR(E18="",E18=0,H18=""),"",H18/E18)</f>
        <v/>
      </c>
      <c r="N18" s="10">
        <f>IF(OR(E18="",J18=""),"",J18-E18)</f>
        <v/>
      </c>
      <c r="O18" s="26" t="n"/>
      <c r="P18" s="25" t="n"/>
    </row>
    <row r="19">
      <c r="A19" s="25" t="n"/>
      <c r="B19" s="25" t="n"/>
      <c r="C19" s="26" t="n"/>
      <c r="D19" s="26" t="n"/>
      <c r="E19" s="27" t="n"/>
      <c r="F19" s="26" t="n"/>
      <c r="G19" s="28" t="n"/>
      <c r="H19" s="27" t="n"/>
      <c r="I19" s="27" t="n"/>
      <c r="J19" s="27" t="n"/>
      <c r="K19" s="10">
        <f>IF(OR(E19="",I19=""),"",E19-I19)</f>
        <v/>
      </c>
      <c r="L19" s="10">
        <f>IF(OR(E19="",H19=""),"",E19-H19)</f>
        <v/>
      </c>
      <c r="M19" s="11">
        <f>IF(OR(E19="",E19=0,H19=""),"",H19/E19)</f>
        <v/>
      </c>
      <c r="N19" s="10">
        <f>IF(OR(E19="",J19=""),"",J19-E19)</f>
        <v/>
      </c>
      <c r="O19" s="26" t="n"/>
      <c r="P19" s="25" t="n"/>
    </row>
    <row r="20">
      <c r="A20" s="25" t="n"/>
      <c r="B20" s="25" t="n"/>
      <c r="C20" s="26" t="n"/>
      <c r="D20" s="26" t="n"/>
      <c r="E20" s="27" t="n"/>
      <c r="F20" s="26" t="n"/>
      <c r="G20" s="28" t="n"/>
      <c r="H20" s="27" t="n"/>
      <c r="I20" s="27" t="n"/>
      <c r="J20" s="27" t="n"/>
      <c r="K20" s="10">
        <f>IF(OR(E20="",I20=""),"",E20-I20)</f>
        <v/>
      </c>
      <c r="L20" s="10">
        <f>IF(OR(E20="",H20=""),"",E20-H20)</f>
        <v/>
      </c>
      <c r="M20" s="11">
        <f>IF(OR(E20="",E20=0,H20=""),"",H20/E20)</f>
        <v/>
      </c>
      <c r="N20" s="10">
        <f>IF(OR(E20="",J20=""),"",J20-E20)</f>
        <v/>
      </c>
      <c r="O20" s="26" t="n"/>
      <c r="P20" s="25" t="n"/>
    </row>
    <row r="21">
      <c r="A21" s="25" t="n"/>
      <c r="B21" s="25" t="n"/>
      <c r="C21" s="26" t="n"/>
      <c r="D21" s="26" t="n"/>
      <c r="E21" s="27" t="n"/>
      <c r="F21" s="26" t="n"/>
      <c r="G21" s="28" t="n"/>
      <c r="H21" s="27" t="n"/>
      <c r="I21" s="27" t="n"/>
      <c r="J21" s="27" t="n"/>
      <c r="K21" s="10">
        <f>IF(OR(E21="",I21=""),"",E21-I21)</f>
        <v/>
      </c>
      <c r="L21" s="10">
        <f>IF(OR(E21="",H21=""),"",E21-H21)</f>
        <v/>
      </c>
      <c r="M21" s="11">
        <f>IF(OR(E21="",E21=0,H21=""),"",H21/E21)</f>
        <v/>
      </c>
      <c r="N21" s="10">
        <f>IF(OR(E21="",J21=""),"",J21-E21)</f>
        <v/>
      </c>
      <c r="O21" s="26" t="n"/>
      <c r="P21" s="25" t="n"/>
    </row>
    <row r="22">
      <c r="A22" s="25" t="n"/>
      <c r="B22" s="25" t="n"/>
      <c r="C22" s="26" t="n"/>
      <c r="D22" s="26" t="n"/>
      <c r="E22" s="27" t="n"/>
      <c r="F22" s="26" t="n"/>
      <c r="G22" s="28" t="n"/>
      <c r="H22" s="27" t="n"/>
      <c r="I22" s="27" t="n"/>
      <c r="J22" s="27" t="n"/>
      <c r="K22" s="10">
        <f>IF(OR(E22="",I22=""),"",E22-I22)</f>
        <v/>
      </c>
      <c r="L22" s="10">
        <f>IF(OR(E22="",H22=""),"",E22-H22)</f>
        <v/>
      </c>
      <c r="M22" s="11">
        <f>IF(OR(E22="",E22=0,H22=""),"",H22/E22)</f>
        <v/>
      </c>
      <c r="N22" s="10">
        <f>IF(OR(E22="",J22=""),"",J22-E22)</f>
        <v/>
      </c>
      <c r="O22" s="26" t="n"/>
      <c r="P22" s="25" t="n"/>
    </row>
    <row r="23">
      <c r="A23" s="25" t="n"/>
      <c r="B23" s="25" t="n"/>
      <c r="C23" s="26" t="n"/>
      <c r="D23" s="26" t="n"/>
      <c r="E23" s="27" t="n"/>
      <c r="F23" s="26" t="n"/>
      <c r="G23" s="28" t="n"/>
      <c r="H23" s="27" t="n"/>
      <c r="I23" s="27" t="n"/>
      <c r="J23" s="27" t="n"/>
      <c r="K23" s="10">
        <f>IF(OR(E23="",I23=""),"",E23-I23)</f>
        <v/>
      </c>
      <c r="L23" s="10">
        <f>IF(OR(E23="",H23=""),"",E23-H23)</f>
        <v/>
      </c>
      <c r="M23" s="11">
        <f>IF(OR(E23="",E23=0,H23=""),"",H23/E23)</f>
        <v/>
      </c>
      <c r="N23" s="10">
        <f>IF(OR(E23="",J23=""),"",J23-E23)</f>
        <v/>
      </c>
      <c r="O23" s="26" t="n"/>
      <c r="P23" s="25" t="n"/>
    </row>
    <row r="24">
      <c r="A24" s="25" t="n"/>
      <c r="B24" s="25" t="n"/>
      <c r="C24" s="26" t="n"/>
      <c r="D24" s="26" t="n"/>
      <c r="E24" s="27" t="n"/>
      <c r="F24" s="26" t="n"/>
      <c r="G24" s="28" t="n"/>
      <c r="H24" s="27" t="n"/>
      <c r="I24" s="27" t="n"/>
      <c r="J24" s="27" t="n"/>
      <c r="K24" s="10">
        <f>IF(OR(E24="",I24=""),"",E24-I24)</f>
        <v/>
      </c>
      <c r="L24" s="10">
        <f>IF(OR(E24="",H24=""),"",E24-H24)</f>
        <v/>
      </c>
      <c r="M24" s="11">
        <f>IF(OR(E24="",E24=0,H24=""),"",H24/E24)</f>
        <v/>
      </c>
      <c r="N24" s="10">
        <f>IF(OR(E24="",J24=""),"",J24-E24)</f>
        <v/>
      </c>
      <c r="O24" s="26" t="n"/>
      <c r="P24" s="25" t="n"/>
    </row>
    <row r="25">
      <c r="A25" s="25" t="n"/>
      <c r="B25" s="25" t="n"/>
      <c r="C25" s="26" t="n"/>
      <c r="D25" s="26" t="n"/>
      <c r="E25" s="27" t="n"/>
      <c r="F25" s="26" t="n"/>
      <c r="G25" s="28" t="n"/>
      <c r="H25" s="27" t="n"/>
      <c r="I25" s="27" t="n"/>
      <c r="J25" s="27" t="n"/>
      <c r="K25" s="10">
        <f>IF(OR(E25="",I25=""),"",E25-I25)</f>
        <v/>
      </c>
      <c r="L25" s="10">
        <f>IF(OR(E25="",H25=""),"",E25-H25)</f>
        <v/>
      </c>
      <c r="M25" s="11">
        <f>IF(OR(E25="",E25=0,H25=""),"",H25/E25)</f>
        <v/>
      </c>
      <c r="N25" s="10">
        <f>IF(OR(E25="",J25=""),"",J25-E25)</f>
        <v/>
      </c>
      <c r="O25" s="26" t="n"/>
      <c r="P25" s="25" t="n"/>
    </row>
    <row r="26">
      <c r="A26" s="25" t="n"/>
      <c r="B26" s="25" t="n"/>
      <c r="C26" s="26" t="n"/>
      <c r="D26" s="26" t="n"/>
      <c r="E26" s="27" t="n"/>
      <c r="F26" s="26" t="n"/>
      <c r="G26" s="28" t="n"/>
      <c r="H26" s="27" t="n"/>
      <c r="I26" s="27" t="n"/>
      <c r="J26" s="27" t="n"/>
      <c r="K26" s="10">
        <f>IF(OR(E26="",I26=""),"",E26-I26)</f>
        <v/>
      </c>
      <c r="L26" s="10">
        <f>IF(OR(E26="",H26=""),"",E26-H26)</f>
        <v/>
      </c>
      <c r="M26" s="11">
        <f>IF(OR(E26="",E26=0,H26=""),"",H26/E26)</f>
        <v/>
      </c>
      <c r="N26" s="10">
        <f>IF(OR(E26="",J26=""),"",J26-E26)</f>
        <v/>
      </c>
      <c r="O26" s="26" t="n"/>
      <c r="P26" s="25" t="n"/>
    </row>
    <row r="27">
      <c r="A27" s="25" t="n"/>
      <c r="B27" s="25" t="n"/>
      <c r="C27" s="26" t="n"/>
      <c r="D27" s="26" t="n"/>
      <c r="E27" s="27" t="n"/>
      <c r="F27" s="26" t="n"/>
      <c r="G27" s="28" t="n"/>
      <c r="H27" s="27" t="n"/>
      <c r="I27" s="27" t="n"/>
      <c r="J27" s="27" t="n"/>
      <c r="K27" s="10">
        <f>IF(OR(E27="",I27=""),"",E27-I27)</f>
        <v/>
      </c>
      <c r="L27" s="10">
        <f>IF(OR(E27="",H27=""),"",E27-H27)</f>
        <v/>
      </c>
      <c r="M27" s="11">
        <f>IF(OR(E27="",E27=0,H27=""),"",H27/E27)</f>
        <v/>
      </c>
      <c r="N27" s="10">
        <f>IF(OR(E27="",J27=""),"",J27-E27)</f>
        <v/>
      </c>
      <c r="O27" s="26" t="n"/>
      <c r="P27" s="25" t="n"/>
    </row>
    <row r="28">
      <c r="A28" s="25" t="n"/>
      <c r="B28" s="25" t="n"/>
      <c r="C28" s="26" t="n"/>
      <c r="D28" s="26" t="n"/>
      <c r="E28" s="27" t="n"/>
      <c r="F28" s="26" t="n"/>
      <c r="G28" s="28" t="n"/>
      <c r="H28" s="27" t="n"/>
      <c r="I28" s="27" t="n"/>
      <c r="J28" s="27" t="n"/>
      <c r="K28" s="10">
        <f>IF(OR(E28="",I28=""),"",E28-I28)</f>
        <v/>
      </c>
      <c r="L28" s="10">
        <f>IF(OR(E28="",H28=""),"",E28-H28)</f>
        <v/>
      </c>
      <c r="M28" s="11">
        <f>IF(OR(E28="",E28=0,H28=""),"",H28/E28)</f>
        <v/>
      </c>
      <c r="N28" s="10">
        <f>IF(OR(E28="",J28=""),"",J28-E28)</f>
        <v/>
      </c>
      <c r="O28" s="26" t="n"/>
      <c r="P28" s="25" t="n"/>
    </row>
    <row r="29">
      <c r="A29" s="25" t="n"/>
      <c r="B29" s="25" t="n"/>
      <c r="C29" s="26" t="n"/>
      <c r="D29" s="26" t="n"/>
      <c r="E29" s="27" t="n"/>
      <c r="F29" s="26" t="n"/>
      <c r="G29" s="28" t="n"/>
      <c r="H29" s="27" t="n"/>
      <c r="I29" s="27" t="n"/>
      <c r="J29" s="27" t="n"/>
      <c r="K29" s="10">
        <f>IF(OR(E29="",I29=""),"",E29-I29)</f>
        <v/>
      </c>
      <c r="L29" s="10">
        <f>IF(OR(E29="",H29=""),"",E29-H29)</f>
        <v/>
      </c>
      <c r="M29" s="11">
        <f>IF(OR(E29="",E29=0,H29=""),"",H29/E29)</f>
        <v/>
      </c>
      <c r="N29" s="10">
        <f>IF(OR(E29="",J29=""),"",J29-E29)</f>
        <v/>
      </c>
      <c r="O29" s="26" t="n"/>
      <c r="P29" s="25" t="n"/>
    </row>
    <row r="30">
      <c r="A30" s="25" t="n"/>
      <c r="B30" s="25" t="n"/>
      <c r="C30" s="26" t="n"/>
      <c r="D30" s="26" t="n"/>
      <c r="E30" s="27" t="n"/>
      <c r="F30" s="26" t="n"/>
      <c r="G30" s="28" t="n"/>
      <c r="H30" s="27" t="n"/>
      <c r="I30" s="27" t="n"/>
      <c r="J30" s="27" t="n"/>
      <c r="K30" s="10">
        <f>IF(OR(E30="",I30=""),"",E30-I30)</f>
        <v/>
      </c>
      <c r="L30" s="10">
        <f>IF(OR(E30="",H30=""),"",E30-H30)</f>
        <v/>
      </c>
      <c r="M30" s="11">
        <f>IF(OR(E30="",E30=0,H30=""),"",H30/E30)</f>
        <v/>
      </c>
      <c r="N30" s="10">
        <f>IF(OR(E30="",J30=""),"",J30-E30)</f>
        <v/>
      </c>
      <c r="O30" s="26" t="n"/>
      <c r="P30" s="25" t="n"/>
    </row>
    <row r="31">
      <c r="A31" s="25" t="n"/>
      <c r="B31" s="25" t="n"/>
      <c r="C31" s="26" t="n"/>
      <c r="D31" s="26" t="n"/>
      <c r="E31" s="27" t="n"/>
      <c r="F31" s="26" t="n"/>
      <c r="G31" s="28" t="n"/>
      <c r="H31" s="27" t="n"/>
      <c r="I31" s="27" t="n"/>
      <c r="J31" s="27" t="n"/>
      <c r="K31" s="10">
        <f>IF(OR(E31="",I31=""),"",E31-I31)</f>
        <v/>
      </c>
      <c r="L31" s="10">
        <f>IF(OR(E31="",H31=""),"",E31-H31)</f>
        <v/>
      </c>
      <c r="M31" s="11">
        <f>IF(OR(E31="",E31=0,H31=""),"",H31/E31)</f>
        <v/>
      </c>
      <c r="N31" s="10">
        <f>IF(OR(E31="",J31=""),"",J31-E31)</f>
        <v/>
      </c>
      <c r="O31" s="26" t="n"/>
      <c r="P31" s="25" t="n"/>
    </row>
    <row r="32">
      <c r="A32" s="25" t="n"/>
      <c r="B32" s="25" t="n"/>
      <c r="C32" s="26" t="n"/>
      <c r="D32" s="26" t="n"/>
      <c r="E32" s="27" t="n"/>
      <c r="F32" s="26" t="n"/>
      <c r="G32" s="28" t="n"/>
      <c r="H32" s="27" t="n"/>
      <c r="I32" s="27" t="n"/>
      <c r="J32" s="27" t="n"/>
      <c r="K32" s="10">
        <f>IF(OR(E32="",I32=""),"",E32-I32)</f>
        <v/>
      </c>
      <c r="L32" s="10">
        <f>IF(OR(E32="",H32=""),"",E32-H32)</f>
        <v/>
      </c>
      <c r="M32" s="11">
        <f>IF(OR(E32="",E32=0,H32=""),"",H32/E32)</f>
        <v/>
      </c>
      <c r="N32" s="10">
        <f>IF(OR(E32="",J32=""),"",J32-E32)</f>
        <v/>
      </c>
      <c r="O32" s="26" t="n"/>
      <c r="P32" s="25" t="n"/>
    </row>
    <row r="33">
      <c r="A33" s="25" t="n"/>
      <c r="B33" s="25" t="n"/>
      <c r="C33" s="26" t="n"/>
      <c r="D33" s="26" t="n"/>
      <c r="E33" s="27" t="n"/>
      <c r="F33" s="26" t="n"/>
      <c r="G33" s="28" t="n"/>
      <c r="H33" s="27" t="n"/>
      <c r="I33" s="27" t="n"/>
      <c r="J33" s="27" t="n"/>
      <c r="K33" s="10">
        <f>IF(OR(E33="",I33=""),"",E33-I33)</f>
        <v/>
      </c>
      <c r="L33" s="10">
        <f>IF(OR(E33="",H33=""),"",E33-H33)</f>
        <v/>
      </c>
      <c r="M33" s="11">
        <f>IF(OR(E33="",E33=0,H33=""),"",H33/E33)</f>
        <v/>
      </c>
      <c r="N33" s="10">
        <f>IF(OR(E33="",J33=""),"",J33-E33)</f>
        <v/>
      </c>
      <c r="O33" s="26" t="n"/>
      <c r="P33" s="25" t="n"/>
    </row>
    <row r="34">
      <c r="A34" s="25" t="n"/>
      <c r="B34" s="25" t="n"/>
      <c r="C34" s="26" t="n"/>
      <c r="D34" s="26" t="n"/>
      <c r="E34" s="27" t="n"/>
      <c r="F34" s="26" t="n"/>
      <c r="G34" s="28" t="n"/>
      <c r="H34" s="27" t="n"/>
      <c r="I34" s="27" t="n"/>
      <c r="J34" s="27" t="n"/>
      <c r="K34" s="10">
        <f>IF(OR(E34="",I34=""),"",E34-I34)</f>
        <v/>
      </c>
      <c r="L34" s="10">
        <f>IF(OR(E34="",H34=""),"",E34-H34)</f>
        <v/>
      </c>
      <c r="M34" s="11">
        <f>IF(OR(E34="",E34=0,H34=""),"",H34/E34)</f>
        <v/>
      </c>
      <c r="N34" s="10">
        <f>IF(OR(E34="",J34=""),"",J34-E34)</f>
        <v/>
      </c>
      <c r="O34" s="26" t="n"/>
      <c r="P34" s="25" t="n"/>
    </row>
    <row r="35">
      <c r="A35" s="25" t="n"/>
      <c r="B35" s="25" t="n"/>
      <c r="C35" s="26" t="n"/>
      <c r="D35" s="26" t="n"/>
      <c r="E35" s="27" t="n"/>
      <c r="F35" s="26" t="n"/>
      <c r="G35" s="28" t="n"/>
      <c r="H35" s="27" t="n"/>
      <c r="I35" s="27" t="n"/>
      <c r="J35" s="27" t="n"/>
      <c r="K35" s="10">
        <f>IF(OR(E35="",I35=""),"",E35-I35)</f>
        <v/>
      </c>
      <c r="L35" s="10">
        <f>IF(OR(E35="",H35=""),"",E35-H35)</f>
        <v/>
      </c>
      <c r="M35" s="11">
        <f>IF(OR(E35="",E35=0,H35=""),"",H35/E35)</f>
        <v/>
      </c>
      <c r="N35" s="10">
        <f>IF(OR(E35="",J35=""),"",J35-E35)</f>
        <v/>
      </c>
      <c r="O35" s="26" t="n"/>
      <c r="P35" s="25" t="n"/>
    </row>
    <row r="36">
      <c r="A36" s="25" t="n"/>
      <c r="B36" s="25" t="n"/>
      <c r="C36" s="26" t="n"/>
      <c r="D36" s="26" t="n"/>
      <c r="E36" s="27" t="n"/>
      <c r="F36" s="26" t="n"/>
      <c r="G36" s="28" t="n"/>
      <c r="H36" s="27" t="n"/>
      <c r="I36" s="27" t="n"/>
      <c r="J36" s="27" t="n"/>
      <c r="K36" s="10">
        <f>IF(OR(E36="",I36=""),"",E36-I36)</f>
        <v/>
      </c>
      <c r="L36" s="10">
        <f>IF(OR(E36="",H36=""),"",E36-H36)</f>
        <v/>
      </c>
      <c r="M36" s="11">
        <f>IF(OR(E36="",E36=0,H36=""),"",H36/E36)</f>
        <v/>
      </c>
      <c r="N36" s="10">
        <f>IF(OR(E36="",J36=""),"",J36-E36)</f>
        <v/>
      </c>
      <c r="O36" s="26" t="n"/>
      <c r="P36" s="25" t="n"/>
    </row>
    <row r="37">
      <c r="A37" s="25" t="n"/>
      <c r="B37" s="25" t="n"/>
      <c r="C37" s="26" t="n"/>
      <c r="D37" s="26" t="n"/>
      <c r="E37" s="27" t="n"/>
      <c r="F37" s="26" t="n"/>
      <c r="G37" s="28" t="n"/>
      <c r="H37" s="27" t="n"/>
      <c r="I37" s="27" t="n"/>
      <c r="J37" s="27" t="n"/>
      <c r="K37" s="10">
        <f>IF(OR(E37="",I37=""),"",E37-I37)</f>
        <v/>
      </c>
      <c r="L37" s="10">
        <f>IF(OR(E37="",H37=""),"",E37-H37)</f>
        <v/>
      </c>
      <c r="M37" s="11">
        <f>IF(OR(E37="",E37=0,H37=""),"",H37/E37)</f>
        <v/>
      </c>
      <c r="N37" s="10">
        <f>IF(OR(E37="",J37=""),"",J37-E37)</f>
        <v/>
      </c>
      <c r="O37" s="26" t="n"/>
      <c r="P37" s="25" t="n"/>
    </row>
    <row r="38">
      <c r="A38" s="25" t="n"/>
      <c r="B38" s="25" t="n"/>
      <c r="C38" s="26" t="n"/>
      <c r="D38" s="26" t="n"/>
      <c r="E38" s="27" t="n"/>
      <c r="F38" s="26" t="n"/>
      <c r="G38" s="28" t="n"/>
      <c r="H38" s="27" t="n"/>
      <c r="I38" s="27" t="n"/>
      <c r="J38" s="27" t="n"/>
      <c r="K38" s="10">
        <f>IF(OR(E38="",I38=""),"",E38-I38)</f>
        <v/>
      </c>
      <c r="L38" s="10">
        <f>IF(OR(E38="",H38=""),"",E38-H38)</f>
        <v/>
      </c>
      <c r="M38" s="11">
        <f>IF(OR(E38="",E38=0,H38=""),"",H38/E38)</f>
        <v/>
      </c>
      <c r="N38" s="10">
        <f>IF(OR(E38="",J38=""),"",J38-E38)</f>
        <v/>
      </c>
      <c r="O38" s="26" t="n"/>
      <c r="P38" s="25" t="n"/>
    </row>
    <row r="39">
      <c r="A39" s="25" t="n"/>
      <c r="B39" s="25" t="n"/>
      <c r="C39" s="26" t="n"/>
      <c r="D39" s="26" t="n"/>
      <c r="E39" s="27" t="n"/>
      <c r="F39" s="26" t="n"/>
      <c r="G39" s="28" t="n"/>
      <c r="H39" s="27" t="n"/>
      <c r="I39" s="27" t="n"/>
      <c r="J39" s="27" t="n"/>
      <c r="K39" s="10">
        <f>IF(OR(E39="",I39=""),"",E39-I39)</f>
        <v/>
      </c>
      <c r="L39" s="10">
        <f>IF(OR(E39="",H39=""),"",E39-H39)</f>
        <v/>
      </c>
      <c r="M39" s="11">
        <f>IF(OR(E39="",E39=0,H39=""),"",H39/E39)</f>
        <v/>
      </c>
      <c r="N39" s="10">
        <f>IF(OR(E39="",J39=""),"",J39-E39)</f>
        <v/>
      </c>
      <c r="O39" s="26" t="n"/>
      <c r="P39" s="25" t="n"/>
    </row>
    <row r="40">
      <c r="A40" s="25" t="n"/>
      <c r="B40" s="25" t="n"/>
      <c r="C40" s="26" t="n"/>
      <c r="D40" s="26" t="n"/>
      <c r="E40" s="27" t="n"/>
      <c r="F40" s="26" t="n"/>
      <c r="G40" s="28" t="n"/>
      <c r="H40" s="27" t="n"/>
      <c r="I40" s="27" t="n"/>
      <c r="J40" s="27" t="n"/>
      <c r="K40" s="10">
        <f>IF(OR(E40="",I40=""),"",E40-I40)</f>
        <v/>
      </c>
      <c r="L40" s="10">
        <f>IF(OR(E40="",H40=""),"",E40-H40)</f>
        <v/>
      </c>
      <c r="M40" s="11">
        <f>IF(OR(E40="",E40=0,H40=""),"",H40/E40)</f>
        <v/>
      </c>
      <c r="N40" s="10">
        <f>IF(OR(E40="",J40=""),"",J40-E40)</f>
        <v/>
      </c>
      <c r="O40" s="26" t="n"/>
      <c r="P40" s="25" t="n"/>
    </row>
    <row r="41">
      <c r="A41" s="25" t="n"/>
      <c r="B41" s="25" t="n"/>
      <c r="C41" s="26" t="n"/>
      <c r="D41" s="26" t="n"/>
      <c r="E41" s="27" t="n"/>
      <c r="F41" s="26" t="n"/>
      <c r="G41" s="28" t="n"/>
      <c r="H41" s="27" t="n"/>
      <c r="I41" s="27" t="n"/>
      <c r="J41" s="27" t="n"/>
      <c r="K41" s="10">
        <f>IF(OR(E41="",I41=""),"",E41-I41)</f>
        <v/>
      </c>
      <c r="L41" s="10">
        <f>IF(OR(E41="",H41=""),"",E41-H41)</f>
        <v/>
      </c>
      <c r="M41" s="11">
        <f>IF(OR(E41="",E41=0,H41=""),"",H41/E41)</f>
        <v/>
      </c>
      <c r="N41" s="10">
        <f>IF(OR(E41="",J41=""),"",J41-E41)</f>
        <v/>
      </c>
      <c r="O41" s="26" t="n"/>
      <c r="P41" s="25" t="n"/>
    </row>
    <row r="42">
      <c r="A42" s="25" t="n"/>
      <c r="B42" s="25" t="n"/>
      <c r="C42" s="26" t="n"/>
      <c r="D42" s="26" t="n"/>
      <c r="E42" s="27" t="n"/>
      <c r="F42" s="26" t="n"/>
      <c r="G42" s="28" t="n"/>
      <c r="H42" s="27" t="n"/>
      <c r="I42" s="27" t="n"/>
      <c r="J42" s="27" t="n"/>
      <c r="K42" s="10">
        <f>IF(OR(E42="",I42=""),"",E42-I42)</f>
        <v/>
      </c>
      <c r="L42" s="10">
        <f>IF(OR(E42="",H42=""),"",E42-H42)</f>
        <v/>
      </c>
      <c r="M42" s="11">
        <f>IF(OR(E42="",E42=0,H42=""),"",H42/E42)</f>
        <v/>
      </c>
      <c r="N42" s="10">
        <f>IF(OR(E42="",J42=""),"",J42-E42)</f>
        <v/>
      </c>
      <c r="O42" s="26" t="n"/>
      <c r="P42" s="25" t="n"/>
    </row>
    <row r="43">
      <c r="A43" s="25" t="n"/>
      <c r="B43" s="25" t="n"/>
      <c r="C43" s="26" t="n"/>
      <c r="D43" s="26" t="n"/>
      <c r="E43" s="27" t="n"/>
      <c r="F43" s="26" t="n"/>
      <c r="G43" s="28" t="n"/>
      <c r="H43" s="27" t="n"/>
      <c r="I43" s="27" t="n"/>
      <c r="J43" s="27" t="n"/>
      <c r="K43" s="10">
        <f>IF(OR(E43="",I43=""),"",E43-I43)</f>
        <v/>
      </c>
      <c r="L43" s="10">
        <f>IF(OR(E43="",H43=""),"",E43-H43)</f>
        <v/>
      </c>
      <c r="M43" s="11">
        <f>IF(OR(E43="",E43=0,H43=""),"",H43/E43)</f>
        <v/>
      </c>
      <c r="N43" s="10">
        <f>IF(OR(E43="",J43=""),"",J43-E43)</f>
        <v/>
      </c>
      <c r="O43" s="26" t="n"/>
      <c r="P43" s="25" t="n"/>
    </row>
    <row r="44">
      <c r="A44" s="25" t="n"/>
      <c r="B44" s="25" t="n"/>
      <c r="C44" s="26" t="n"/>
      <c r="D44" s="26" t="n"/>
      <c r="E44" s="27" t="n"/>
      <c r="F44" s="26" t="n"/>
      <c r="G44" s="28" t="n"/>
      <c r="H44" s="27" t="n"/>
      <c r="I44" s="27" t="n"/>
      <c r="J44" s="27" t="n"/>
      <c r="K44" s="10">
        <f>IF(OR(E44="",I44=""),"",E44-I44)</f>
        <v/>
      </c>
      <c r="L44" s="10">
        <f>IF(OR(E44="",H44=""),"",E44-H44)</f>
        <v/>
      </c>
      <c r="M44" s="11">
        <f>IF(OR(E44="",E44=0,H44=""),"",H44/E44)</f>
        <v/>
      </c>
      <c r="N44" s="10">
        <f>IF(OR(E44="",J44=""),"",J44-E44)</f>
        <v/>
      </c>
      <c r="O44" s="26" t="n"/>
      <c r="P44" s="25" t="n"/>
    </row>
    <row r="45">
      <c r="A45" s="25" t="n"/>
      <c r="B45" s="25" t="n"/>
      <c r="C45" s="26" t="n"/>
      <c r="D45" s="26" t="n"/>
      <c r="E45" s="27" t="n"/>
      <c r="F45" s="26" t="n"/>
      <c r="G45" s="28" t="n"/>
      <c r="H45" s="27" t="n"/>
      <c r="I45" s="27" t="n"/>
      <c r="J45" s="27" t="n"/>
      <c r="K45" s="10">
        <f>IF(OR(E45="",I45=""),"",E45-I45)</f>
        <v/>
      </c>
      <c r="L45" s="10">
        <f>IF(OR(E45="",H45=""),"",E45-H45)</f>
        <v/>
      </c>
      <c r="M45" s="11">
        <f>IF(OR(E45="",E45=0,H45=""),"",H45/E45)</f>
        <v/>
      </c>
      <c r="N45" s="10">
        <f>IF(OR(E45="",J45=""),"",J45-E45)</f>
        <v/>
      </c>
      <c r="O45" s="26" t="n"/>
      <c r="P45" s="25" t="n"/>
    </row>
    <row r="46">
      <c r="A46" s="25" t="n"/>
      <c r="B46" s="25" t="n"/>
      <c r="C46" s="26" t="n"/>
      <c r="D46" s="26" t="n"/>
      <c r="E46" s="27" t="n"/>
      <c r="F46" s="26" t="n"/>
      <c r="G46" s="28" t="n"/>
      <c r="H46" s="27" t="n"/>
      <c r="I46" s="27" t="n"/>
      <c r="J46" s="27" t="n"/>
      <c r="K46" s="10">
        <f>IF(OR(E46="",I46=""),"",E46-I46)</f>
        <v/>
      </c>
      <c r="L46" s="10">
        <f>IF(OR(E46="",H46=""),"",E46-H46)</f>
        <v/>
      </c>
      <c r="M46" s="11">
        <f>IF(OR(E46="",E46=0,H46=""),"",H46/E46)</f>
        <v/>
      </c>
      <c r="N46" s="10">
        <f>IF(OR(E46="",J46=""),"",J46-E46)</f>
        <v/>
      </c>
      <c r="O46" s="26" t="n"/>
      <c r="P46" s="25" t="n"/>
    </row>
    <row r="47">
      <c r="A47" s="25" t="n"/>
      <c r="B47" s="25" t="n"/>
      <c r="C47" s="26" t="n"/>
      <c r="D47" s="26" t="n"/>
      <c r="E47" s="27" t="n"/>
      <c r="F47" s="26" t="n"/>
      <c r="G47" s="28" t="n"/>
      <c r="H47" s="27" t="n"/>
      <c r="I47" s="27" t="n"/>
      <c r="J47" s="27" t="n"/>
      <c r="K47" s="10">
        <f>IF(OR(E47="",I47=""),"",E47-I47)</f>
        <v/>
      </c>
      <c r="L47" s="10">
        <f>IF(OR(E47="",H47=""),"",E47-H47)</f>
        <v/>
      </c>
      <c r="M47" s="11">
        <f>IF(OR(E47="",E47=0,H47=""),"",H47/E47)</f>
        <v/>
      </c>
      <c r="N47" s="10">
        <f>IF(OR(E47="",J47=""),"",J47-E47)</f>
        <v/>
      </c>
      <c r="O47" s="26" t="n"/>
      <c r="P47" s="25" t="n"/>
    </row>
    <row r="48">
      <c r="A48" s="25" t="n"/>
      <c r="B48" s="25" t="n"/>
      <c r="C48" s="26" t="n"/>
      <c r="D48" s="26" t="n"/>
      <c r="E48" s="27" t="n"/>
      <c r="F48" s="26" t="n"/>
      <c r="G48" s="28" t="n"/>
      <c r="H48" s="27" t="n"/>
      <c r="I48" s="27" t="n"/>
      <c r="J48" s="27" t="n"/>
      <c r="K48" s="10">
        <f>IF(OR(E48="",I48=""),"",E48-I48)</f>
        <v/>
      </c>
      <c r="L48" s="10">
        <f>IF(OR(E48="",H48=""),"",E48-H48)</f>
        <v/>
      </c>
      <c r="M48" s="11">
        <f>IF(OR(E48="",E48=0,H48=""),"",H48/E48)</f>
        <v/>
      </c>
      <c r="N48" s="10">
        <f>IF(OR(E48="",J48=""),"",J48-E48)</f>
        <v/>
      </c>
      <c r="O48" s="26" t="n"/>
      <c r="P48" s="25" t="n"/>
    </row>
    <row r="49">
      <c r="A49" s="25" t="n"/>
      <c r="B49" s="25" t="n"/>
      <c r="C49" s="26" t="n"/>
      <c r="D49" s="26" t="n"/>
      <c r="E49" s="27" t="n"/>
      <c r="F49" s="26" t="n"/>
      <c r="G49" s="28" t="n"/>
      <c r="H49" s="27" t="n"/>
      <c r="I49" s="27" t="n"/>
      <c r="J49" s="27" t="n"/>
      <c r="K49" s="10">
        <f>IF(OR(E49="",I49=""),"",E49-I49)</f>
        <v/>
      </c>
      <c r="L49" s="10">
        <f>IF(OR(E49="",H49=""),"",E49-H49)</f>
        <v/>
      </c>
      <c r="M49" s="11">
        <f>IF(OR(E49="",E49=0,H49=""),"",H49/E49)</f>
        <v/>
      </c>
      <c r="N49" s="10">
        <f>IF(OR(E49="",J49=""),"",J49-E49)</f>
        <v/>
      </c>
      <c r="O49" s="26" t="n"/>
      <c r="P49" s="25" t="n"/>
    </row>
    <row r="50">
      <c r="A50" s="25" t="n"/>
      <c r="B50" s="25" t="n"/>
      <c r="C50" s="26" t="n"/>
      <c r="D50" s="26" t="n"/>
      <c r="E50" s="27" t="n"/>
      <c r="F50" s="26" t="n"/>
      <c r="G50" s="28" t="n"/>
      <c r="H50" s="27" t="n"/>
      <c r="I50" s="27" t="n"/>
      <c r="J50" s="27" t="n"/>
      <c r="K50" s="10">
        <f>IF(OR(E50="",I50=""),"",E50-I50)</f>
        <v/>
      </c>
      <c r="L50" s="10">
        <f>IF(OR(E50="",H50=""),"",E50-H50)</f>
        <v/>
      </c>
      <c r="M50" s="11">
        <f>IF(OR(E50="",E50=0,H50=""),"",H50/E50)</f>
        <v/>
      </c>
      <c r="N50" s="10">
        <f>IF(OR(E50="",J50=""),"",J50-E50)</f>
        <v/>
      </c>
      <c r="O50" s="26" t="n"/>
      <c r="P50" s="25" t="n"/>
    </row>
    <row r="51">
      <c r="A51" s="25" t="n"/>
      <c r="B51" s="25" t="n"/>
      <c r="C51" s="26" t="n"/>
      <c r="D51" s="26" t="n"/>
      <c r="E51" s="27" t="n"/>
      <c r="F51" s="26" t="n"/>
      <c r="G51" s="28" t="n"/>
      <c r="H51" s="27" t="n"/>
      <c r="I51" s="27" t="n"/>
      <c r="J51" s="27" t="n"/>
      <c r="K51" s="10">
        <f>IF(OR(E51="",I51=""),"",E51-I51)</f>
        <v/>
      </c>
      <c r="L51" s="10">
        <f>IF(OR(E51="",H51=""),"",E51-H51)</f>
        <v/>
      </c>
      <c r="M51" s="11">
        <f>IF(OR(E51="",E51=0,H51=""),"",H51/E51)</f>
        <v/>
      </c>
      <c r="N51" s="10">
        <f>IF(OR(E51="",J51=""),"",J51-E51)</f>
        <v/>
      </c>
      <c r="O51" s="26" t="n"/>
      <c r="P51" s="25" t="n"/>
    </row>
    <row r="52">
      <c r="A52" s="12" t="inlineStr">
        <is>
          <t>LOB TOTALS</t>
        </is>
      </c>
      <c r="B52" s="12" t="n"/>
      <c r="C52" s="12" t="n"/>
      <c r="D52" s="12" t="n"/>
      <c r="E52" s="13">
        <f>SUMIF(A12:A51,"&lt;&gt;",E12:E51)</f>
        <v/>
      </c>
      <c r="F52" s="12" t="n"/>
      <c r="G52" s="12" t="n"/>
      <c r="H52" s="13">
        <f>SUMIF(A12:A51,"&lt;&gt;",H12:H51)</f>
        <v/>
      </c>
      <c r="I52" s="13">
        <f>SUMIF(A12:A51,"&lt;&gt;",I12:I51)</f>
        <v/>
      </c>
      <c r="J52" s="13">
        <f>SUMIF(A12:A51,"&lt;&gt;",J12:J51)</f>
        <v/>
      </c>
      <c r="K52" s="13">
        <f>SUMIF(A12:A51,"&lt;&gt;",K12:K51)</f>
        <v/>
      </c>
      <c r="L52" s="13">
        <f>SUMIF(A12:A51,"&lt;&gt;",L12:L51)</f>
        <v/>
      </c>
      <c r="M52" s="14">
        <f>IF(OR(E52="",E52=0),"",H52/E52)</f>
        <v/>
      </c>
      <c r="N52" s="13">
        <f>SUMIF(A12:A51,"&lt;&gt;",N12:N51)</f>
        <v/>
      </c>
      <c r="O52" s="12" t="n"/>
      <c r="P52" s="12" t="n"/>
    </row>
    <row r="54">
      <c r="A54" s="29" t="inlineStr">
        <is>
          <t>Legend: Yellow = input  |  Green = formula  |  Grey = totals  |  Blue = LOB KPIs</t>
        </is>
      </c>
    </row>
  </sheetData>
  <autoFilter ref="A11:P51"/>
  <mergeCells count="4">
    <mergeCell ref="A6:P6"/>
    <mergeCell ref="A10:P10"/>
    <mergeCell ref="A1:P1"/>
    <mergeCell ref="A2:P2"/>
  </mergeCells>
  <conditionalFormatting sqref="M12:M51">
    <cfRule type="cellIs" priority="1" operator="greaterThan" dxfId="0">
      <formula>0.9</formula>
    </cfRule>
  </conditionalFormatting>
  <conditionalFormatting sqref="N12:N51">
    <cfRule type="cellIs" priority="2" operator="greaterThan" dxfId="0">
      <formula>0</formula>
    </cfRule>
  </conditionalFormatting>
  <conditionalFormatting sqref="L7">
    <cfRule type="cellIs" priority="3" operator="greaterThan" dxfId="0">
      <formula>0.9</formula>
    </cfRule>
  </conditionalFormatting>
  <conditionalFormatting sqref="N7">
    <cfRule type="cellIs" priority="4" operator="greaterThan" dxfId="0">
      <formula>0</formula>
    </cfRule>
  </conditionalFormatting>
  <dataValidations count="3">
    <dataValidation sqref="C12:C51" showDropDown="0" showInputMessage="0" showErrorMessage="0" allowBlank="1" type="list">
      <formula1>"Contractor,Permanent FTEs,Tooling,Infrastructure,Professional services,Travel,Other"</formula1>
    </dataValidation>
    <dataValidation sqref="O12:O51" showDropDown="0" showInputMessage="0" showErrorMessage="0" allowBlank="1" type="list">
      <formula1>"On track,At risk,Overspent,Not started,Closed"</formula1>
    </dataValidation>
    <dataValidation sqref="F4" showDropDown="0" showInputMessage="0" showErrorMessage="0" allowBlank="1" type="list">
      <formula1>"FY25,FY26,FY27,FY26 H1,FY26 H2,FY26 Q1,FY26 Q2,FY26 Q3,FY26 Q4"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22" customWidth="1" min="2" max="2"/>
    <col width="14" customWidth="1" min="3" max="3"/>
    <col width="20" customWidth="1" min="4" max="4"/>
    <col width="16" customWidth="1" min="5" max="5"/>
    <col width="18" customWidth="1" min="6" max="6"/>
    <col width="13" customWidth="1" min="7" max="7"/>
    <col width="14" customWidth="1" min="8" max="8"/>
    <col width="12" customWidth="1" min="9" max="9"/>
    <col width="14" customWidth="1" min="10" max="10"/>
    <col width="12" customWidth="1" min="11" max="11"/>
    <col width="12" customWidth="1" min="12" max="12"/>
    <col width="10" customWidth="1" min="13" max="13"/>
    <col width="14" customWidth="1" min="14" max="14"/>
    <col width="12" customWidth="1" min="15" max="15"/>
    <col width="24" customWidth="1" min="16" max="16"/>
  </cols>
  <sheetData>
    <row r="1" ht="28" customHeight="1">
      <c r="A1" s="18" t="inlineStr">
        <is>
          <t>LOB Budget View — Emerging Platforms</t>
        </is>
      </c>
    </row>
    <row r="2">
      <c r="A2" s="4" t="inlineStr">
        <is>
          <t>Per-LOB consolidated view. Yellow = enter. Green = calculated. One row per project / workstream in this LOB. Cross-LOB Summary rolls these sheets up.</t>
        </is>
      </c>
    </row>
    <row r="4">
      <c r="A4" s="19" t="inlineStr">
        <is>
          <t>LOB</t>
        </is>
      </c>
      <c r="B4" s="6" t="inlineStr">
        <is>
          <t>Emerging Platforms</t>
        </is>
      </c>
      <c r="C4" s="19" t="inlineStr">
        <is>
          <t>Primary HOE</t>
        </is>
      </c>
      <c r="D4" s="6" t="inlineStr"/>
      <c r="E4" s="19" t="inlineStr">
        <is>
          <t>FY / Period</t>
        </is>
      </c>
      <c r="F4" s="6" t="inlineStr">
        <is>
          <t>FY26</t>
        </is>
      </c>
      <c r="G4" s="19" t="inlineStr">
        <is>
          <t>Currency</t>
        </is>
      </c>
      <c r="H4" s="6" t="inlineStr">
        <is>
          <t>AUD</t>
        </is>
      </c>
      <c r="I4" s="19" t="inlineStr">
        <is>
          <t>Last updated</t>
        </is>
      </c>
      <c r="J4" s="20" t="inlineStr">
        <is>
          <t>2026-10-06</t>
        </is>
      </c>
    </row>
    <row r="6">
      <c r="A6" s="15" t="inlineStr">
        <is>
          <t>LOB SUMMARY (auto from detail below)</t>
        </is>
      </c>
    </row>
    <row r="7">
      <c r="A7" s="21" t="inlineStr"/>
      <c r="B7" s="22">
        <f>SUMIF(A12:A51,"&lt;&gt;",E12:E51)</f>
        <v/>
      </c>
      <c r="C7" s="21" t="inlineStr"/>
      <c r="D7" s="22">
        <f>SUMIF(A12:A51,"&lt;&gt;",H12:H51)</f>
        <v/>
      </c>
      <c r="E7" s="21" t="inlineStr"/>
      <c r="F7" s="22">
        <f>SUMIF(A12:A51,"&lt;&gt;",I12:I51)</f>
        <v/>
      </c>
      <c r="G7" s="21" t="inlineStr"/>
      <c r="H7" s="22">
        <f>SUMIF(A12:A51,"&lt;&gt;",J12:J51)</f>
        <v/>
      </c>
      <c r="I7" s="21" t="inlineStr"/>
      <c r="J7" s="22">
        <f>IF(B7="","",B7-D7)</f>
        <v/>
      </c>
      <c r="K7" s="21" t="inlineStr"/>
      <c r="L7" s="23">
        <f>IF(OR(B7="",B7=0),"",D7/B7)</f>
        <v/>
      </c>
      <c r="M7" s="21" t="inlineStr"/>
      <c r="N7" s="22">
        <f>IF(OR(B7="",H7=""),"",H7-B7)</f>
        <v/>
      </c>
    </row>
    <row r="8">
      <c r="A8" s="24" t="inlineStr">
        <is>
          <t>Total Approved</t>
        </is>
      </c>
      <c r="B8" s="21" t="inlineStr"/>
      <c r="C8" s="24" t="inlineStr">
        <is>
          <t>Total Spent</t>
        </is>
      </c>
      <c r="D8" s="21" t="inlineStr"/>
      <c r="E8" s="24" t="inlineStr">
        <is>
          <t>Unallocated</t>
        </is>
      </c>
      <c r="F8" s="21" t="inlineStr"/>
      <c r="G8" s="24" t="inlineStr">
        <is>
          <t>Forecasted Spend</t>
        </is>
      </c>
      <c r="H8" s="21" t="inlineStr"/>
      <c r="I8" s="24" t="inlineStr">
        <is>
          <t>Remaining</t>
        </is>
      </c>
      <c r="J8" s="21" t="inlineStr"/>
      <c r="K8" s="24" t="inlineStr">
        <is>
          <t>% of Approved Spent</t>
        </is>
      </c>
      <c r="L8" s="21" t="inlineStr"/>
      <c r="M8" s="24" t="inlineStr">
        <is>
          <t>Forecast vs Approved</t>
        </is>
      </c>
      <c r="N8" s="21" t="inlineStr"/>
    </row>
    <row r="10">
      <c r="A10" s="4" t="inlineStr">
        <is>
          <t>Detail by project (enter below). Use filter on Managed by (HOE) to focus one HOE.</t>
        </is>
      </c>
    </row>
    <row r="11" ht="34" customHeight="1">
      <c r="A11" s="5" t="inlineStr">
        <is>
          <t>Project / Workstream</t>
        </is>
      </c>
      <c r="B11" s="5" t="inlineStr">
        <is>
          <t>Initiative / Cost centre</t>
        </is>
      </c>
      <c r="C11" s="5" t="inlineStr">
        <is>
          <t>Cost category</t>
        </is>
      </c>
      <c r="D11" s="5" t="inlineStr">
        <is>
          <t>Managed by (HOE)</t>
        </is>
      </c>
      <c r="E11" s="5" t="inlineStr">
        <is>
          <t>Total Budget Approved</t>
        </is>
      </c>
      <c r="F11" s="5" t="inlineStr">
        <is>
          <t>Approved By</t>
        </is>
      </c>
      <c r="G11" s="5" t="inlineStr">
        <is>
          <t>Approval Date</t>
        </is>
      </c>
      <c r="H11" s="5" t="inlineStr">
        <is>
          <t>Spent (Actual)</t>
        </is>
      </c>
      <c r="I11" s="5" t="inlineStr">
        <is>
          <t>Unallocated</t>
        </is>
      </c>
      <c r="J11" s="5" t="inlineStr">
        <is>
          <t>Forecasted Spend</t>
        </is>
      </c>
      <c r="K11" s="5" t="inlineStr">
        <is>
          <t>Allocated</t>
        </is>
      </c>
      <c r="L11" s="5" t="inlineStr">
        <is>
          <t>Remaining</t>
        </is>
      </c>
      <c r="M11" s="5" t="inlineStr">
        <is>
          <t>% Spent</t>
        </is>
      </c>
      <c r="N11" s="5" t="inlineStr">
        <is>
          <t>Forecast vs Approved</t>
        </is>
      </c>
      <c r="O11" s="5" t="inlineStr">
        <is>
          <t>Status</t>
        </is>
      </c>
      <c r="P11" s="5" t="inlineStr">
        <is>
          <t>Notes</t>
        </is>
      </c>
    </row>
    <row r="12">
      <c r="A12" s="25" t="n"/>
      <c r="B12" s="25" t="n"/>
      <c r="C12" s="26" t="n"/>
      <c r="D12" s="26" t="n"/>
      <c r="E12" s="27" t="n"/>
      <c r="F12" s="26" t="n"/>
      <c r="G12" s="28" t="n"/>
      <c r="H12" s="27" t="n"/>
      <c r="I12" s="27" t="n"/>
      <c r="J12" s="27" t="n"/>
      <c r="K12" s="10">
        <f>IF(OR(E12="",I12=""),"",E12-I12)</f>
        <v/>
      </c>
      <c r="L12" s="10">
        <f>IF(OR(E12="",H12=""),"",E12-H12)</f>
        <v/>
      </c>
      <c r="M12" s="11">
        <f>IF(OR(E12="",E12=0,H12=""),"",H12/E12)</f>
        <v/>
      </c>
      <c r="N12" s="10">
        <f>IF(OR(E12="",J12=""),"",J12-E12)</f>
        <v/>
      </c>
      <c r="O12" s="26" t="n"/>
      <c r="P12" s="25" t="n"/>
    </row>
    <row r="13">
      <c r="A13" s="25" t="n"/>
      <c r="B13" s="25" t="n"/>
      <c r="C13" s="26" t="n"/>
      <c r="D13" s="26" t="n"/>
      <c r="E13" s="27" t="n"/>
      <c r="F13" s="26" t="n"/>
      <c r="G13" s="28" t="n"/>
      <c r="H13" s="27" t="n"/>
      <c r="I13" s="27" t="n"/>
      <c r="J13" s="27" t="n"/>
      <c r="K13" s="10">
        <f>IF(OR(E13="",I13=""),"",E13-I13)</f>
        <v/>
      </c>
      <c r="L13" s="10">
        <f>IF(OR(E13="",H13=""),"",E13-H13)</f>
        <v/>
      </c>
      <c r="M13" s="11">
        <f>IF(OR(E13="",E13=0,H13=""),"",H13/E13)</f>
        <v/>
      </c>
      <c r="N13" s="10">
        <f>IF(OR(E13="",J13=""),"",J13-E13)</f>
        <v/>
      </c>
      <c r="O13" s="26" t="n"/>
      <c r="P13" s="25" t="n"/>
    </row>
    <row r="14">
      <c r="A14" s="25" t="n"/>
      <c r="B14" s="25" t="n"/>
      <c r="C14" s="26" t="n"/>
      <c r="D14" s="26" t="n"/>
      <c r="E14" s="27" t="n"/>
      <c r="F14" s="26" t="n"/>
      <c r="G14" s="28" t="n"/>
      <c r="H14" s="27" t="n"/>
      <c r="I14" s="27" t="n"/>
      <c r="J14" s="27" t="n"/>
      <c r="K14" s="10">
        <f>IF(OR(E14="",I14=""),"",E14-I14)</f>
        <v/>
      </c>
      <c r="L14" s="10">
        <f>IF(OR(E14="",H14=""),"",E14-H14)</f>
        <v/>
      </c>
      <c r="M14" s="11">
        <f>IF(OR(E14="",E14=0,H14=""),"",H14/E14)</f>
        <v/>
      </c>
      <c r="N14" s="10">
        <f>IF(OR(E14="",J14=""),"",J14-E14)</f>
        <v/>
      </c>
      <c r="O14" s="26" t="n"/>
      <c r="P14" s="25" t="n"/>
    </row>
    <row r="15">
      <c r="A15" s="25" t="n"/>
      <c r="B15" s="25" t="n"/>
      <c r="C15" s="26" t="n"/>
      <c r="D15" s="26" t="n"/>
      <c r="E15" s="27" t="n"/>
      <c r="F15" s="26" t="n"/>
      <c r="G15" s="28" t="n"/>
      <c r="H15" s="27" t="n"/>
      <c r="I15" s="27" t="n"/>
      <c r="J15" s="27" t="n"/>
      <c r="K15" s="10">
        <f>IF(OR(E15="",I15=""),"",E15-I15)</f>
        <v/>
      </c>
      <c r="L15" s="10">
        <f>IF(OR(E15="",H15=""),"",E15-H15)</f>
        <v/>
      </c>
      <c r="M15" s="11">
        <f>IF(OR(E15="",E15=0,H15=""),"",H15/E15)</f>
        <v/>
      </c>
      <c r="N15" s="10">
        <f>IF(OR(E15="",J15=""),"",J15-E15)</f>
        <v/>
      </c>
      <c r="O15" s="26" t="n"/>
      <c r="P15" s="25" t="n"/>
    </row>
    <row r="16">
      <c r="A16" s="25" t="n"/>
      <c r="B16" s="25" t="n"/>
      <c r="C16" s="26" t="n"/>
      <c r="D16" s="26" t="n"/>
      <c r="E16" s="27" t="n"/>
      <c r="F16" s="26" t="n"/>
      <c r="G16" s="28" t="n"/>
      <c r="H16" s="27" t="n"/>
      <c r="I16" s="27" t="n"/>
      <c r="J16" s="27" t="n"/>
      <c r="K16" s="10">
        <f>IF(OR(E16="",I16=""),"",E16-I16)</f>
        <v/>
      </c>
      <c r="L16" s="10">
        <f>IF(OR(E16="",H16=""),"",E16-H16)</f>
        <v/>
      </c>
      <c r="M16" s="11">
        <f>IF(OR(E16="",E16=0,H16=""),"",H16/E16)</f>
        <v/>
      </c>
      <c r="N16" s="10">
        <f>IF(OR(E16="",J16=""),"",J16-E16)</f>
        <v/>
      </c>
      <c r="O16" s="26" t="n"/>
      <c r="P16" s="25" t="n"/>
    </row>
    <row r="17">
      <c r="A17" s="25" t="n"/>
      <c r="B17" s="25" t="n"/>
      <c r="C17" s="26" t="n"/>
      <c r="D17" s="26" t="n"/>
      <c r="E17" s="27" t="n"/>
      <c r="F17" s="26" t="n"/>
      <c r="G17" s="28" t="n"/>
      <c r="H17" s="27" t="n"/>
      <c r="I17" s="27" t="n"/>
      <c r="J17" s="27" t="n"/>
      <c r="K17" s="10">
        <f>IF(OR(E17="",I17=""),"",E17-I17)</f>
        <v/>
      </c>
      <c r="L17" s="10">
        <f>IF(OR(E17="",H17=""),"",E17-H17)</f>
        <v/>
      </c>
      <c r="M17" s="11">
        <f>IF(OR(E17="",E17=0,H17=""),"",H17/E17)</f>
        <v/>
      </c>
      <c r="N17" s="10">
        <f>IF(OR(E17="",J17=""),"",J17-E17)</f>
        <v/>
      </c>
      <c r="O17" s="26" t="n"/>
      <c r="P17" s="25" t="n"/>
    </row>
    <row r="18">
      <c r="A18" s="25" t="n"/>
      <c r="B18" s="25" t="n"/>
      <c r="C18" s="26" t="n"/>
      <c r="D18" s="26" t="n"/>
      <c r="E18" s="27" t="n"/>
      <c r="F18" s="26" t="n"/>
      <c r="G18" s="28" t="n"/>
      <c r="H18" s="27" t="n"/>
      <c r="I18" s="27" t="n"/>
      <c r="J18" s="27" t="n"/>
      <c r="K18" s="10">
        <f>IF(OR(E18="",I18=""),"",E18-I18)</f>
        <v/>
      </c>
      <c r="L18" s="10">
        <f>IF(OR(E18="",H18=""),"",E18-H18)</f>
        <v/>
      </c>
      <c r="M18" s="11">
        <f>IF(OR(E18="",E18=0,H18=""),"",H18/E18)</f>
        <v/>
      </c>
      <c r="N18" s="10">
        <f>IF(OR(E18="",J18=""),"",J18-E18)</f>
        <v/>
      </c>
      <c r="O18" s="26" t="n"/>
      <c r="P18" s="25" t="n"/>
    </row>
    <row r="19">
      <c r="A19" s="25" t="n"/>
      <c r="B19" s="25" t="n"/>
      <c r="C19" s="26" t="n"/>
      <c r="D19" s="26" t="n"/>
      <c r="E19" s="27" t="n"/>
      <c r="F19" s="26" t="n"/>
      <c r="G19" s="28" t="n"/>
      <c r="H19" s="27" t="n"/>
      <c r="I19" s="27" t="n"/>
      <c r="J19" s="27" t="n"/>
      <c r="K19" s="10">
        <f>IF(OR(E19="",I19=""),"",E19-I19)</f>
        <v/>
      </c>
      <c r="L19" s="10">
        <f>IF(OR(E19="",H19=""),"",E19-H19)</f>
        <v/>
      </c>
      <c r="M19" s="11">
        <f>IF(OR(E19="",E19=0,H19=""),"",H19/E19)</f>
        <v/>
      </c>
      <c r="N19" s="10">
        <f>IF(OR(E19="",J19=""),"",J19-E19)</f>
        <v/>
      </c>
      <c r="O19" s="26" t="n"/>
      <c r="P19" s="25" t="n"/>
    </row>
    <row r="20">
      <c r="A20" s="25" t="n"/>
      <c r="B20" s="25" t="n"/>
      <c r="C20" s="26" t="n"/>
      <c r="D20" s="26" t="n"/>
      <c r="E20" s="27" t="n"/>
      <c r="F20" s="26" t="n"/>
      <c r="G20" s="28" t="n"/>
      <c r="H20" s="27" t="n"/>
      <c r="I20" s="27" t="n"/>
      <c r="J20" s="27" t="n"/>
      <c r="K20" s="10">
        <f>IF(OR(E20="",I20=""),"",E20-I20)</f>
        <v/>
      </c>
      <c r="L20" s="10">
        <f>IF(OR(E20="",H20=""),"",E20-H20)</f>
        <v/>
      </c>
      <c r="M20" s="11">
        <f>IF(OR(E20="",E20=0,H20=""),"",H20/E20)</f>
        <v/>
      </c>
      <c r="N20" s="10">
        <f>IF(OR(E20="",J20=""),"",J20-E20)</f>
        <v/>
      </c>
      <c r="O20" s="26" t="n"/>
      <c r="P20" s="25" t="n"/>
    </row>
    <row r="21">
      <c r="A21" s="25" t="n"/>
      <c r="B21" s="25" t="n"/>
      <c r="C21" s="26" t="n"/>
      <c r="D21" s="26" t="n"/>
      <c r="E21" s="27" t="n"/>
      <c r="F21" s="26" t="n"/>
      <c r="G21" s="28" t="n"/>
      <c r="H21" s="27" t="n"/>
      <c r="I21" s="27" t="n"/>
      <c r="J21" s="27" t="n"/>
      <c r="K21" s="10">
        <f>IF(OR(E21="",I21=""),"",E21-I21)</f>
        <v/>
      </c>
      <c r="L21" s="10">
        <f>IF(OR(E21="",H21=""),"",E21-H21)</f>
        <v/>
      </c>
      <c r="M21" s="11">
        <f>IF(OR(E21="",E21=0,H21=""),"",H21/E21)</f>
        <v/>
      </c>
      <c r="N21" s="10">
        <f>IF(OR(E21="",J21=""),"",J21-E21)</f>
        <v/>
      </c>
      <c r="O21" s="26" t="n"/>
      <c r="P21" s="25" t="n"/>
    </row>
    <row r="22">
      <c r="A22" s="25" t="n"/>
      <c r="B22" s="25" t="n"/>
      <c r="C22" s="26" t="n"/>
      <c r="D22" s="26" t="n"/>
      <c r="E22" s="27" t="n"/>
      <c r="F22" s="26" t="n"/>
      <c r="G22" s="28" t="n"/>
      <c r="H22" s="27" t="n"/>
      <c r="I22" s="27" t="n"/>
      <c r="J22" s="27" t="n"/>
      <c r="K22" s="10">
        <f>IF(OR(E22="",I22=""),"",E22-I22)</f>
        <v/>
      </c>
      <c r="L22" s="10">
        <f>IF(OR(E22="",H22=""),"",E22-H22)</f>
        <v/>
      </c>
      <c r="M22" s="11">
        <f>IF(OR(E22="",E22=0,H22=""),"",H22/E22)</f>
        <v/>
      </c>
      <c r="N22" s="10">
        <f>IF(OR(E22="",J22=""),"",J22-E22)</f>
        <v/>
      </c>
      <c r="O22" s="26" t="n"/>
      <c r="P22" s="25" t="n"/>
    </row>
    <row r="23">
      <c r="A23" s="25" t="n"/>
      <c r="B23" s="25" t="n"/>
      <c r="C23" s="26" t="n"/>
      <c r="D23" s="26" t="n"/>
      <c r="E23" s="27" t="n"/>
      <c r="F23" s="26" t="n"/>
      <c r="G23" s="28" t="n"/>
      <c r="H23" s="27" t="n"/>
      <c r="I23" s="27" t="n"/>
      <c r="J23" s="27" t="n"/>
      <c r="K23" s="10">
        <f>IF(OR(E23="",I23=""),"",E23-I23)</f>
        <v/>
      </c>
      <c r="L23" s="10">
        <f>IF(OR(E23="",H23=""),"",E23-H23)</f>
        <v/>
      </c>
      <c r="M23" s="11">
        <f>IF(OR(E23="",E23=0,H23=""),"",H23/E23)</f>
        <v/>
      </c>
      <c r="N23" s="10">
        <f>IF(OR(E23="",J23=""),"",J23-E23)</f>
        <v/>
      </c>
      <c r="O23" s="26" t="n"/>
      <c r="P23" s="25" t="n"/>
    </row>
    <row r="24">
      <c r="A24" s="25" t="n"/>
      <c r="B24" s="25" t="n"/>
      <c r="C24" s="26" t="n"/>
      <c r="D24" s="26" t="n"/>
      <c r="E24" s="27" t="n"/>
      <c r="F24" s="26" t="n"/>
      <c r="G24" s="28" t="n"/>
      <c r="H24" s="27" t="n"/>
      <c r="I24" s="27" t="n"/>
      <c r="J24" s="27" t="n"/>
      <c r="K24" s="10">
        <f>IF(OR(E24="",I24=""),"",E24-I24)</f>
        <v/>
      </c>
      <c r="L24" s="10">
        <f>IF(OR(E24="",H24=""),"",E24-H24)</f>
        <v/>
      </c>
      <c r="M24" s="11">
        <f>IF(OR(E24="",E24=0,H24=""),"",H24/E24)</f>
        <v/>
      </c>
      <c r="N24" s="10">
        <f>IF(OR(E24="",J24=""),"",J24-E24)</f>
        <v/>
      </c>
      <c r="O24" s="26" t="n"/>
      <c r="P24" s="25" t="n"/>
    </row>
    <row r="25">
      <c r="A25" s="25" t="n"/>
      <c r="B25" s="25" t="n"/>
      <c r="C25" s="26" t="n"/>
      <c r="D25" s="26" t="n"/>
      <c r="E25" s="27" t="n"/>
      <c r="F25" s="26" t="n"/>
      <c r="G25" s="28" t="n"/>
      <c r="H25" s="27" t="n"/>
      <c r="I25" s="27" t="n"/>
      <c r="J25" s="27" t="n"/>
      <c r="K25" s="10">
        <f>IF(OR(E25="",I25=""),"",E25-I25)</f>
        <v/>
      </c>
      <c r="L25" s="10">
        <f>IF(OR(E25="",H25=""),"",E25-H25)</f>
        <v/>
      </c>
      <c r="M25" s="11">
        <f>IF(OR(E25="",E25=0,H25=""),"",H25/E25)</f>
        <v/>
      </c>
      <c r="N25" s="10">
        <f>IF(OR(E25="",J25=""),"",J25-E25)</f>
        <v/>
      </c>
      <c r="O25" s="26" t="n"/>
      <c r="P25" s="25" t="n"/>
    </row>
    <row r="26">
      <c r="A26" s="25" t="n"/>
      <c r="B26" s="25" t="n"/>
      <c r="C26" s="26" t="n"/>
      <c r="D26" s="26" t="n"/>
      <c r="E26" s="27" t="n"/>
      <c r="F26" s="26" t="n"/>
      <c r="G26" s="28" t="n"/>
      <c r="H26" s="27" t="n"/>
      <c r="I26" s="27" t="n"/>
      <c r="J26" s="27" t="n"/>
      <c r="K26" s="10">
        <f>IF(OR(E26="",I26=""),"",E26-I26)</f>
        <v/>
      </c>
      <c r="L26" s="10">
        <f>IF(OR(E26="",H26=""),"",E26-H26)</f>
        <v/>
      </c>
      <c r="M26" s="11">
        <f>IF(OR(E26="",E26=0,H26=""),"",H26/E26)</f>
        <v/>
      </c>
      <c r="N26" s="10">
        <f>IF(OR(E26="",J26=""),"",J26-E26)</f>
        <v/>
      </c>
      <c r="O26" s="26" t="n"/>
      <c r="P26" s="25" t="n"/>
    </row>
    <row r="27">
      <c r="A27" s="25" t="n"/>
      <c r="B27" s="25" t="n"/>
      <c r="C27" s="26" t="n"/>
      <c r="D27" s="26" t="n"/>
      <c r="E27" s="27" t="n"/>
      <c r="F27" s="26" t="n"/>
      <c r="G27" s="28" t="n"/>
      <c r="H27" s="27" t="n"/>
      <c r="I27" s="27" t="n"/>
      <c r="J27" s="27" t="n"/>
      <c r="K27" s="10">
        <f>IF(OR(E27="",I27=""),"",E27-I27)</f>
        <v/>
      </c>
      <c r="L27" s="10">
        <f>IF(OR(E27="",H27=""),"",E27-H27)</f>
        <v/>
      </c>
      <c r="M27" s="11">
        <f>IF(OR(E27="",E27=0,H27=""),"",H27/E27)</f>
        <v/>
      </c>
      <c r="N27" s="10">
        <f>IF(OR(E27="",J27=""),"",J27-E27)</f>
        <v/>
      </c>
      <c r="O27" s="26" t="n"/>
      <c r="P27" s="25" t="n"/>
    </row>
    <row r="28">
      <c r="A28" s="25" t="n"/>
      <c r="B28" s="25" t="n"/>
      <c r="C28" s="26" t="n"/>
      <c r="D28" s="26" t="n"/>
      <c r="E28" s="27" t="n"/>
      <c r="F28" s="26" t="n"/>
      <c r="G28" s="28" t="n"/>
      <c r="H28" s="27" t="n"/>
      <c r="I28" s="27" t="n"/>
      <c r="J28" s="27" t="n"/>
      <c r="K28" s="10">
        <f>IF(OR(E28="",I28=""),"",E28-I28)</f>
        <v/>
      </c>
      <c r="L28" s="10">
        <f>IF(OR(E28="",H28=""),"",E28-H28)</f>
        <v/>
      </c>
      <c r="M28" s="11">
        <f>IF(OR(E28="",E28=0,H28=""),"",H28/E28)</f>
        <v/>
      </c>
      <c r="N28" s="10">
        <f>IF(OR(E28="",J28=""),"",J28-E28)</f>
        <v/>
      </c>
      <c r="O28" s="26" t="n"/>
      <c r="P28" s="25" t="n"/>
    </row>
    <row r="29">
      <c r="A29" s="25" t="n"/>
      <c r="B29" s="25" t="n"/>
      <c r="C29" s="26" t="n"/>
      <c r="D29" s="26" t="n"/>
      <c r="E29" s="27" t="n"/>
      <c r="F29" s="26" t="n"/>
      <c r="G29" s="28" t="n"/>
      <c r="H29" s="27" t="n"/>
      <c r="I29" s="27" t="n"/>
      <c r="J29" s="27" t="n"/>
      <c r="K29" s="10">
        <f>IF(OR(E29="",I29=""),"",E29-I29)</f>
        <v/>
      </c>
      <c r="L29" s="10">
        <f>IF(OR(E29="",H29=""),"",E29-H29)</f>
        <v/>
      </c>
      <c r="M29" s="11">
        <f>IF(OR(E29="",E29=0,H29=""),"",H29/E29)</f>
        <v/>
      </c>
      <c r="N29" s="10">
        <f>IF(OR(E29="",J29=""),"",J29-E29)</f>
        <v/>
      </c>
      <c r="O29" s="26" t="n"/>
      <c r="P29" s="25" t="n"/>
    </row>
    <row r="30">
      <c r="A30" s="25" t="n"/>
      <c r="B30" s="25" t="n"/>
      <c r="C30" s="26" t="n"/>
      <c r="D30" s="26" t="n"/>
      <c r="E30" s="27" t="n"/>
      <c r="F30" s="26" t="n"/>
      <c r="G30" s="28" t="n"/>
      <c r="H30" s="27" t="n"/>
      <c r="I30" s="27" t="n"/>
      <c r="J30" s="27" t="n"/>
      <c r="K30" s="10">
        <f>IF(OR(E30="",I30=""),"",E30-I30)</f>
        <v/>
      </c>
      <c r="L30" s="10">
        <f>IF(OR(E30="",H30=""),"",E30-H30)</f>
        <v/>
      </c>
      <c r="M30" s="11">
        <f>IF(OR(E30="",E30=0,H30=""),"",H30/E30)</f>
        <v/>
      </c>
      <c r="N30" s="10">
        <f>IF(OR(E30="",J30=""),"",J30-E30)</f>
        <v/>
      </c>
      <c r="O30" s="26" t="n"/>
      <c r="P30" s="25" t="n"/>
    </row>
    <row r="31">
      <c r="A31" s="25" t="n"/>
      <c r="B31" s="25" t="n"/>
      <c r="C31" s="26" t="n"/>
      <c r="D31" s="26" t="n"/>
      <c r="E31" s="27" t="n"/>
      <c r="F31" s="26" t="n"/>
      <c r="G31" s="28" t="n"/>
      <c r="H31" s="27" t="n"/>
      <c r="I31" s="27" t="n"/>
      <c r="J31" s="27" t="n"/>
      <c r="K31" s="10">
        <f>IF(OR(E31="",I31=""),"",E31-I31)</f>
        <v/>
      </c>
      <c r="L31" s="10">
        <f>IF(OR(E31="",H31=""),"",E31-H31)</f>
        <v/>
      </c>
      <c r="M31" s="11">
        <f>IF(OR(E31="",E31=0,H31=""),"",H31/E31)</f>
        <v/>
      </c>
      <c r="N31" s="10">
        <f>IF(OR(E31="",J31=""),"",J31-E31)</f>
        <v/>
      </c>
      <c r="O31" s="26" t="n"/>
      <c r="P31" s="25" t="n"/>
    </row>
    <row r="32">
      <c r="A32" s="25" t="n"/>
      <c r="B32" s="25" t="n"/>
      <c r="C32" s="26" t="n"/>
      <c r="D32" s="26" t="n"/>
      <c r="E32" s="27" t="n"/>
      <c r="F32" s="26" t="n"/>
      <c r="G32" s="28" t="n"/>
      <c r="H32" s="27" t="n"/>
      <c r="I32" s="27" t="n"/>
      <c r="J32" s="27" t="n"/>
      <c r="K32" s="10">
        <f>IF(OR(E32="",I32=""),"",E32-I32)</f>
        <v/>
      </c>
      <c r="L32" s="10">
        <f>IF(OR(E32="",H32=""),"",E32-H32)</f>
        <v/>
      </c>
      <c r="M32" s="11">
        <f>IF(OR(E32="",E32=0,H32=""),"",H32/E32)</f>
        <v/>
      </c>
      <c r="N32" s="10">
        <f>IF(OR(E32="",J32=""),"",J32-E32)</f>
        <v/>
      </c>
      <c r="O32" s="26" t="n"/>
      <c r="P32" s="25" t="n"/>
    </row>
    <row r="33">
      <c r="A33" s="25" t="n"/>
      <c r="B33" s="25" t="n"/>
      <c r="C33" s="26" t="n"/>
      <c r="D33" s="26" t="n"/>
      <c r="E33" s="27" t="n"/>
      <c r="F33" s="26" t="n"/>
      <c r="G33" s="28" t="n"/>
      <c r="H33" s="27" t="n"/>
      <c r="I33" s="27" t="n"/>
      <c r="J33" s="27" t="n"/>
      <c r="K33" s="10">
        <f>IF(OR(E33="",I33=""),"",E33-I33)</f>
        <v/>
      </c>
      <c r="L33" s="10">
        <f>IF(OR(E33="",H33=""),"",E33-H33)</f>
        <v/>
      </c>
      <c r="M33" s="11">
        <f>IF(OR(E33="",E33=0,H33=""),"",H33/E33)</f>
        <v/>
      </c>
      <c r="N33" s="10">
        <f>IF(OR(E33="",J33=""),"",J33-E33)</f>
        <v/>
      </c>
      <c r="O33" s="26" t="n"/>
      <c r="P33" s="25" t="n"/>
    </row>
    <row r="34">
      <c r="A34" s="25" t="n"/>
      <c r="B34" s="25" t="n"/>
      <c r="C34" s="26" t="n"/>
      <c r="D34" s="26" t="n"/>
      <c r="E34" s="27" t="n"/>
      <c r="F34" s="26" t="n"/>
      <c r="G34" s="28" t="n"/>
      <c r="H34" s="27" t="n"/>
      <c r="I34" s="27" t="n"/>
      <c r="J34" s="27" t="n"/>
      <c r="K34" s="10">
        <f>IF(OR(E34="",I34=""),"",E34-I34)</f>
        <v/>
      </c>
      <c r="L34" s="10">
        <f>IF(OR(E34="",H34=""),"",E34-H34)</f>
        <v/>
      </c>
      <c r="M34" s="11">
        <f>IF(OR(E34="",E34=0,H34=""),"",H34/E34)</f>
        <v/>
      </c>
      <c r="N34" s="10">
        <f>IF(OR(E34="",J34=""),"",J34-E34)</f>
        <v/>
      </c>
      <c r="O34" s="26" t="n"/>
      <c r="P34" s="25" t="n"/>
    </row>
    <row r="35">
      <c r="A35" s="25" t="n"/>
      <c r="B35" s="25" t="n"/>
      <c r="C35" s="26" t="n"/>
      <c r="D35" s="26" t="n"/>
      <c r="E35" s="27" t="n"/>
      <c r="F35" s="26" t="n"/>
      <c r="G35" s="28" t="n"/>
      <c r="H35" s="27" t="n"/>
      <c r="I35" s="27" t="n"/>
      <c r="J35" s="27" t="n"/>
      <c r="K35" s="10">
        <f>IF(OR(E35="",I35=""),"",E35-I35)</f>
        <v/>
      </c>
      <c r="L35" s="10">
        <f>IF(OR(E35="",H35=""),"",E35-H35)</f>
        <v/>
      </c>
      <c r="M35" s="11">
        <f>IF(OR(E35="",E35=0,H35=""),"",H35/E35)</f>
        <v/>
      </c>
      <c r="N35" s="10">
        <f>IF(OR(E35="",J35=""),"",J35-E35)</f>
        <v/>
      </c>
      <c r="O35" s="26" t="n"/>
      <c r="P35" s="25" t="n"/>
    </row>
    <row r="36">
      <c r="A36" s="25" t="n"/>
      <c r="B36" s="25" t="n"/>
      <c r="C36" s="26" t="n"/>
      <c r="D36" s="26" t="n"/>
      <c r="E36" s="27" t="n"/>
      <c r="F36" s="26" t="n"/>
      <c r="G36" s="28" t="n"/>
      <c r="H36" s="27" t="n"/>
      <c r="I36" s="27" t="n"/>
      <c r="J36" s="27" t="n"/>
      <c r="K36" s="10">
        <f>IF(OR(E36="",I36=""),"",E36-I36)</f>
        <v/>
      </c>
      <c r="L36" s="10">
        <f>IF(OR(E36="",H36=""),"",E36-H36)</f>
        <v/>
      </c>
      <c r="M36" s="11">
        <f>IF(OR(E36="",E36=0,H36=""),"",H36/E36)</f>
        <v/>
      </c>
      <c r="N36" s="10">
        <f>IF(OR(E36="",J36=""),"",J36-E36)</f>
        <v/>
      </c>
      <c r="O36" s="26" t="n"/>
      <c r="P36" s="25" t="n"/>
    </row>
    <row r="37">
      <c r="A37" s="25" t="n"/>
      <c r="B37" s="25" t="n"/>
      <c r="C37" s="26" t="n"/>
      <c r="D37" s="26" t="n"/>
      <c r="E37" s="27" t="n"/>
      <c r="F37" s="26" t="n"/>
      <c r="G37" s="28" t="n"/>
      <c r="H37" s="27" t="n"/>
      <c r="I37" s="27" t="n"/>
      <c r="J37" s="27" t="n"/>
      <c r="K37" s="10">
        <f>IF(OR(E37="",I37=""),"",E37-I37)</f>
        <v/>
      </c>
      <c r="L37" s="10">
        <f>IF(OR(E37="",H37=""),"",E37-H37)</f>
        <v/>
      </c>
      <c r="M37" s="11">
        <f>IF(OR(E37="",E37=0,H37=""),"",H37/E37)</f>
        <v/>
      </c>
      <c r="N37" s="10">
        <f>IF(OR(E37="",J37=""),"",J37-E37)</f>
        <v/>
      </c>
      <c r="O37" s="26" t="n"/>
      <c r="P37" s="25" t="n"/>
    </row>
    <row r="38">
      <c r="A38" s="25" t="n"/>
      <c r="B38" s="25" t="n"/>
      <c r="C38" s="26" t="n"/>
      <c r="D38" s="26" t="n"/>
      <c r="E38" s="27" t="n"/>
      <c r="F38" s="26" t="n"/>
      <c r="G38" s="28" t="n"/>
      <c r="H38" s="27" t="n"/>
      <c r="I38" s="27" t="n"/>
      <c r="J38" s="27" t="n"/>
      <c r="K38" s="10">
        <f>IF(OR(E38="",I38=""),"",E38-I38)</f>
        <v/>
      </c>
      <c r="L38" s="10">
        <f>IF(OR(E38="",H38=""),"",E38-H38)</f>
        <v/>
      </c>
      <c r="M38" s="11">
        <f>IF(OR(E38="",E38=0,H38=""),"",H38/E38)</f>
        <v/>
      </c>
      <c r="N38" s="10">
        <f>IF(OR(E38="",J38=""),"",J38-E38)</f>
        <v/>
      </c>
      <c r="O38" s="26" t="n"/>
      <c r="P38" s="25" t="n"/>
    </row>
    <row r="39">
      <c r="A39" s="25" t="n"/>
      <c r="B39" s="25" t="n"/>
      <c r="C39" s="26" t="n"/>
      <c r="D39" s="26" t="n"/>
      <c r="E39" s="27" t="n"/>
      <c r="F39" s="26" t="n"/>
      <c r="G39" s="28" t="n"/>
      <c r="H39" s="27" t="n"/>
      <c r="I39" s="27" t="n"/>
      <c r="J39" s="27" t="n"/>
      <c r="K39" s="10">
        <f>IF(OR(E39="",I39=""),"",E39-I39)</f>
        <v/>
      </c>
      <c r="L39" s="10">
        <f>IF(OR(E39="",H39=""),"",E39-H39)</f>
        <v/>
      </c>
      <c r="M39" s="11">
        <f>IF(OR(E39="",E39=0,H39=""),"",H39/E39)</f>
        <v/>
      </c>
      <c r="N39" s="10">
        <f>IF(OR(E39="",J39=""),"",J39-E39)</f>
        <v/>
      </c>
      <c r="O39" s="26" t="n"/>
      <c r="P39" s="25" t="n"/>
    </row>
    <row r="40">
      <c r="A40" s="25" t="n"/>
      <c r="B40" s="25" t="n"/>
      <c r="C40" s="26" t="n"/>
      <c r="D40" s="26" t="n"/>
      <c r="E40" s="27" t="n"/>
      <c r="F40" s="26" t="n"/>
      <c r="G40" s="28" t="n"/>
      <c r="H40" s="27" t="n"/>
      <c r="I40" s="27" t="n"/>
      <c r="J40" s="27" t="n"/>
      <c r="K40" s="10">
        <f>IF(OR(E40="",I40=""),"",E40-I40)</f>
        <v/>
      </c>
      <c r="L40" s="10">
        <f>IF(OR(E40="",H40=""),"",E40-H40)</f>
        <v/>
      </c>
      <c r="M40" s="11">
        <f>IF(OR(E40="",E40=0,H40=""),"",H40/E40)</f>
        <v/>
      </c>
      <c r="N40" s="10">
        <f>IF(OR(E40="",J40=""),"",J40-E40)</f>
        <v/>
      </c>
      <c r="O40" s="26" t="n"/>
      <c r="P40" s="25" t="n"/>
    </row>
    <row r="41">
      <c r="A41" s="25" t="n"/>
      <c r="B41" s="25" t="n"/>
      <c r="C41" s="26" t="n"/>
      <c r="D41" s="26" t="n"/>
      <c r="E41" s="27" t="n"/>
      <c r="F41" s="26" t="n"/>
      <c r="G41" s="28" t="n"/>
      <c r="H41" s="27" t="n"/>
      <c r="I41" s="27" t="n"/>
      <c r="J41" s="27" t="n"/>
      <c r="K41" s="10">
        <f>IF(OR(E41="",I41=""),"",E41-I41)</f>
        <v/>
      </c>
      <c r="L41" s="10">
        <f>IF(OR(E41="",H41=""),"",E41-H41)</f>
        <v/>
      </c>
      <c r="M41" s="11">
        <f>IF(OR(E41="",E41=0,H41=""),"",H41/E41)</f>
        <v/>
      </c>
      <c r="N41" s="10">
        <f>IF(OR(E41="",J41=""),"",J41-E41)</f>
        <v/>
      </c>
      <c r="O41" s="26" t="n"/>
      <c r="P41" s="25" t="n"/>
    </row>
    <row r="42">
      <c r="A42" s="25" t="n"/>
      <c r="B42" s="25" t="n"/>
      <c r="C42" s="26" t="n"/>
      <c r="D42" s="26" t="n"/>
      <c r="E42" s="27" t="n"/>
      <c r="F42" s="26" t="n"/>
      <c r="G42" s="28" t="n"/>
      <c r="H42" s="27" t="n"/>
      <c r="I42" s="27" t="n"/>
      <c r="J42" s="27" t="n"/>
      <c r="K42" s="10">
        <f>IF(OR(E42="",I42=""),"",E42-I42)</f>
        <v/>
      </c>
      <c r="L42" s="10">
        <f>IF(OR(E42="",H42=""),"",E42-H42)</f>
        <v/>
      </c>
      <c r="M42" s="11">
        <f>IF(OR(E42="",E42=0,H42=""),"",H42/E42)</f>
        <v/>
      </c>
      <c r="N42" s="10">
        <f>IF(OR(E42="",J42=""),"",J42-E42)</f>
        <v/>
      </c>
      <c r="O42" s="26" t="n"/>
      <c r="P42" s="25" t="n"/>
    </row>
    <row r="43">
      <c r="A43" s="25" t="n"/>
      <c r="B43" s="25" t="n"/>
      <c r="C43" s="26" t="n"/>
      <c r="D43" s="26" t="n"/>
      <c r="E43" s="27" t="n"/>
      <c r="F43" s="26" t="n"/>
      <c r="G43" s="28" t="n"/>
      <c r="H43" s="27" t="n"/>
      <c r="I43" s="27" t="n"/>
      <c r="J43" s="27" t="n"/>
      <c r="K43" s="10">
        <f>IF(OR(E43="",I43=""),"",E43-I43)</f>
        <v/>
      </c>
      <c r="L43" s="10">
        <f>IF(OR(E43="",H43=""),"",E43-H43)</f>
        <v/>
      </c>
      <c r="M43" s="11">
        <f>IF(OR(E43="",E43=0,H43=""),"",H43/E43)</f>
        <v/>
      </c>
      <c r="N43" s="10">
        <f>IF(OR(E43="",J43=""),"",J43-E43)</f>
        <v/>
      </c>
      <c r="O43" s="26" t="n"/>
      <c r="P43" s="25" t="n"/>
    </row>
    <row r="44">
      <c r="A44" s="25" t="n"/>
      <c r="B44" s="25" t="n"/>
      <c r="C44" s="26" t="n"/>
      <c r="D44" s="26" t="n"/>
      <c r="E44" s="27" t="n"/>
      <c r="F44" s="26" t="n"/>
      <c r="G44" s="28" t="n"/>
      <c r="H44" s="27" t="n"/>
      <c r="I44" s="27" t="n"/>
      <c r="J44" s="27" t="n"/>
      <c r="K44" s="10">
        <f>IF(OR(E44="",I44=""),"",E44-I44)</f>
        <v/>
      </c>
      <c r="L44" s="10">
        <f>IF(OR(E44="",H44=""),"",E44-H44)</f>
        <v/>
      </c>
      <c r="M44" s="11">
        <f>IF(OR(E44="",E44=0,H44=""),"",H44/E44)</f>
        <v/>
      </c>
      <c r="N44" s="10">
        <f>IF(OR(E44="",J44=""),"",J44-E44)</f>
        <v/>
      </c>
      <c r="O44" s="26" t="n"/>
      <c r="P44" s="25" t="n"/>
    </row>
    <row r="45">
      <c r="A45" s="25" t="n"/>
      <c r="B45" s="25" t="n"/>
      <c r="C45" s="26" t="n"/>
      <c r="D45" s="26" t="n"/>
      <c r="E45" s="27" t="n"/>
      <c r="F45" s="26" t="n"/>
      <c r="G45" s="28" t="n"/>
      <c r="H45" s="27" t="n"/>
      <c r="I45" s="27" t="n"/>
      <c r="J45" s="27" t="n"/>
      <c r="K45" s="10">
        <f>IF(OR(E45="",I45=""),"",E45-I45)</f>
        <v/>
      </c>
      <c r="L45" s="10">
        <f>IF(OR(E45="",H45=""),"",E45-H45)</f>
        <v/>
      </c>
      <c r="M45" s="11">
        <f>IF(OR(E45="",E45=0,H45=""),"",H45/E45)</f>
        <v/>
      </c>
      <c r="N45" s="10">
        <f>IF(OR(E45="",J45=""),"",J45-E45)</f>
        <v/>
      </c>
      <c r="O45" s="26" t="n"/>
      <c r="P45" s="25" t="n"/>
    </row>
    <row r="46">
      <c r="A46" s="25" t="n"/>
      <c r="B46" s="25" t="n"/>
      <c r="C46" s="26" t="n"/>
      <c r="D46" s="26" t="n"/>
      <c r="E46" s="27" t="n"/>
      <c r="F46" s="26" t="n"/>
      <c r="G46" s="28" t="n"/>
      <c r="H46" s="27" t="n"/>
      <c r="I46" s="27" t="n"/>
      <c r="J46" s="27" t="n"/>
      <c r="K46" s="10">
        <f>IF(OR(E46="",I46=""),"",E46-I46)</f>
        <v/>
      </c>
      <c r="L46" s="10">
        <f>IF(OR(E46="",H46=""),"",E46-H46)</f>
        <v/>
      </c>
      <c r="M46" s="11">
        <f>IF(OR(E46="",E46=0,H46=""),"",H46/E46)</f>
        <v/>
      </c>
      <c r="N46" s="10">
        <f>IF(OR(E46="",J46=""),"",J46-E46)</f>
        <v/>
      </c>
      <c r="O46" s="26" t="n"/>
      <c r="P46" s="25" t="n"/>
    </row>
    <row r="47">
      <c r="A47" s="25" t="n"/>
      <c r="B47" s="25" t="n"/>
      <c r="C47" s="26" t="n"/>
      <c r="D47" s="26" t="n"/>
      <c r="E47" s="27" t="n"/>
      <c r="F47" s="26" t="n"/>
      <c r="G47" s="28" t="n"/>
      <c r="H47" s="27" t="n"/>
      <c r="I47" s="27" t="n"/>
      <c r="J47" s="27" t="n"/>
      <c r="K47" s="10">
        <f>IF(OR(E47="",I47=""),"",E47-I47)</f>
        <v/>
      </c>
      <c r="L47" s="10">
        <f>IF(OR(E47="",H47=""),"",E47-H47)</f>
        <v/>
      </c>
      <c r="M47" s="11">
        <f>IF(OR(E47="",E47=0,H47=""),"",H47/E47)</f>
        <v/>
      </c>
      <c r="N47" s="10">
        <f>IF(OR(E47="",J47=""),"",J47-E47)</f>
        <v/>
      </c>
      <c r="O47" s="26" t="n"/>
      <c r="P47" s="25" t="n"/>
    </row>
    <row r="48">
      <c r="A48" s="25" t="n"/>
      <c r="B48" s="25" t="n"/>
      <c r="C48" s="26" t="n"/>
      <c r="D48" s="26" t="n"/>
      <c r="E48" s="27" t="n"/>
      <c r="F48" s="26" t="n"/>
      <c r="G48" s="28" t="n"/>
      <c r="H48" s="27" t="n"/>
      <c r="I48" s="27" t="n"/>
      <c r="J48" s="27" t="n"/>
      <c r="K48" s="10">
        <f>IF(OR(E48="",I48=""),"",E48-I48)</f>
        <v/>
      </c>
      <c r="L48" s="10">
        <f>IF(OR(E48="",H48=""),"",E48-H48)</f>
        <v/>
      </c>
      <c r="M48" s="11">
        <f>IF(OR(E48="",E48=0,H48=""),"",H48/E48)</f>
        <v/>
      </c>
      <c r="N48" s="10">
        <f>IF(OR(E48="",J48=""),"",J48-E48)</f>
        <v/>
      </c>
      <c r="O48" s="26" t="n"/>
      <c r="P48" s="25" t="n"/>
    </row>
    <row r="49">
      <c r="A49" s="25" t="n"/>
      <c r="B49" s="25" t="n"/>
      <c r="C49" s="26" t="n"/>
      <c r="D49" s="26" t="n"/>
      <c r="E49" s="27" t="n"/>
      <c r="F49" s="26" t="n"/>
      <c r="G49" s="28" t="n"/>
      <c r="H49" s="27" t="n"/>
      <c r="I49" s="27" t="n"/>
      <c r="J49" s="27" t="n"/>
      <c r="K49" s="10">
        <f>IF(OR(E49="",I49=""),"",E49-I49)</f>
        <v/>
      </c>
      <c r="L49" s="10">
        <f>IF(OR(E49="",H49=""),"",E49-H49)</f>
        <v/>
      </c>
      <c r="M49" s="11">
        <f>IF(OR(E49="",E49=0,H49=""),"",H49/E49)</f>
        <v/>
      </c>
      <c r="N49" s="10">
        <f>IF(OR(E49="",J49=""),"",J49-E49)</f>
        <v/>
      </c>
      <c r="O49" s="26" t="n"/>
      <c r="P49" s="25" t="n"/>
    </row>
    <row r="50">
      <c r="A50" s="25" t="n"/>
      <c r="B50" s="25" t="n"/>
      <c r="C50" s="26" t="n"/>
      <c r="D50" s="26" t="n"/>
      <c r="E50" s="27" t="n"/>
      <c r="F50" s="26" t="n"/>
      <c r="G50" s="28" t="n"/>
      <c r="H50" s="27" t="n"/>
      <c r="I50" s="27" t="n"/>
      <c r="J50" s="27" t="n"/>
      <c r="K50" s="10">
        <f>IF(OR(E50="",I50=""),"",E50-I50)</f>
        <v/>
      </c>
      <c r="L50" s="10">
        <f>IF(OR(E50="",H50=""),"",E50-H50)</f>
        <v/>
      </c>
      <c r="M50" s="11">
        <f>IF(OR(E50="",E50=0,H50=""),"",H50/E50)</f>
        <v/>
      </c>
      <c r="N50" s="10">
        <f>IF(OR(E50="",J50=""),"",J50-E50)</f>
        <v/>
      </c>
      <c r="O50" s="26" t="n"/>
      <c r="P50" s="25" t="n"/>
    </row>
    <row r="51">
      <c r="A51" s="25" t="n"/>
      <c r="B51" s="25" t="n"/>
      <c r="C51" s="26" t="n"/>
      <c r="D51" s="26" t="n"/>
      <c r="E51" s="27" t="n"/>
      <c r="F51" s="26" t="n"/>
      <c r="G51" s="28" t="n"/>
      <c r="H51" s="27" t="n"/>
      <c r="I51" s="27" t="n"/>
      <c r="J51" s="27" t="n"/>
      <c r="K51" s="10">
        <f>IF(OR(E51="",I51=""),"",E51-I51)</f>
        <v/>
      </c>
      <c r="L51" s="10">
        <f>IF(OR(E51="",H51=""),"",E51-H51)</f>
        <v/>
      </c>
      <c r="M51" s="11">
        <f>IF(OR(E51="",E51=0,H51=""),"",H51/E51)</f>
        <v/>
      </c>
      <c r="N51" s="10">
        <f>IF(OR(E51="",J51=""),"",J51-E51)</f>
        <v/>
      </c>
      <c r="O51" s="26" t="n"/>
      <c r="P51" s="25" t="n"/>
    </row>
    <row r="52">
      <c r="A52" s="12" t="inlineStr">
        <is>
          <t>LOB TOTALS</t>
        </is>
      </c>
      <c r="B52" s="12" t="n"/>
      <c r="C52" s="12" t="n"/>
      <c r="D52" s="12" t="n"/>
      <c r="E52" s="13">
        <f>SUMIF(A12:A51,"&lt;&gt;",E12:E51)</f>
        <v/>
      </c>
      <c r="F52" s="12" t="n"/>
      <c r="G52" s="12" t="n"/>
      <c r="H52" s="13">
        <f>SUMIF(A12:A51,"&lt;&gt;",H12:H51)</f>
        <v/>
      </c>
      <c r="I52" s="13">
        <f>SUMIF(A12:A51,"&lt;&gt;",I12:I51)</f>
        <v/>
      </c>
      <c r="J52" s="13">
        <f>SUMIF(A12:A51,"&lt;&gt;",J12:J51)</f>
        <v/>
      </c>
      <c r="K52" s="13">
        <f>SUMIF(A12:A51,"&lt;&gt;",K12:K51)</f>
        <v/>
      </c>
      <c r="L52" s="13">
        <f>SUMIF(A12:A51,"&lt;&gt;",L12:L51)</f>
        <v/>
      </c>
      <c r="M52" s="14">
        <f>IF(OR(E52="",E52=0),"",H52/E52)</f>
        <v/>
      </c>
      <c r="N52" s="13">
        <f>SUMIF(A12:A51,"&lt;&gt;",N12:N51)</f>
        <v/>
      </c>
      <c r="O52" s="12" t="n"/>
      <c r="P52" s="12" t="n"/>
    </row>
    <row r="54">
      <c r="A54" s="29" t="inlineStr">
        <is>
          <t>Legend: Yellow = input  |  Green = formula  |  Grey = totals  |  Blue = LOB KPIs</t>
        </is>
      </c>
    </row>
  </sheetData>
  <autoFilter ref="A11:P51"/>
  <mergeCells count="4">
    <mergeCell ref="A6:P6"/>
    <mergeCell ref="A10:P10"/>
    <mergeCell ref="A1:P1"/>
    <mergeCell ref="A2:P2"/>
  </mergeCells>
  <conditionalFormatting sqref="M12:M51">
    <cfRule type="cellIs" priority="1" operator="greaterThan" dxfId="0">
      <formula>0.9</formula>
    </cfRule>
  </conditionalFormatting>
  <conditionalFormatting sqref="N12:N51">
    <cfRule type="cellIs" priority="2" operator="greaterThan" dxfId="0">
      <formula>0</formula>
    </cfRule>
  </conditionalFormatting>
  <conditionalFormatting sqref="L7">
    <cfRule type="cellIs" priority="3" operator="greaterThan" dxfId="0">
      <formula>0.9</formula>
    </cfRule>
  </conditionalFormatting>
  <conditionalFormatting sqref="N7">
    <cfRule type="cellIs" priority="4" operator="greaterThan" dxfId="0">
      <formula>0</formula>
    </cfRule>
  </conditionalFormatting>
  <dataValidations count="3">
    <dataValidation sqref="C12:C51" showDropDown="0" showInputMessage="0" showErrorMessage="0" allowBlank="1" type="list">
      <formula1>"Contractor,Permanent FTEs,Tooling,Infrastructure,Professional services,Travel,Other"</formula1>
    </dataValidation>
    <dataValidation sqref="O12:O51" showDropDown="0" showInputMessage="0" showErrorMessage="0" allowBlank="1" type="list">
      <formula1>"On track,At risk,Overspent,Not started,Closed"</formula1>
    </dataValidation>
    <dataValidation sqref="F4" showDropDown="0" showInputMessage="0" showErrorMessage="0" allowBlank="1" type="list">
      <formula1>"FY25,FY26,FY27,FY26 H1,FY26 H2,FY26 Q1,FY26 Q2,FY26 Q3,FY26 Q4"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22" customWidth="1" min="2" max="2"/>
    <col width="14" customWidth="1" min="3" max="3"/>
    <col width="20" customWidth="1" min="4" max="4"/>
    <col width="16" customWidth="1" min="5" max="5"/>
    <col width="18" customWidth="1" min="6" max="6"/>
    <col width="13" customWidth="1" min="7" max="7"/>
    <col width="14" customWidth="1" min="8" max="8"/>
    <col width="12" customWidth="1" min="9" max="9"/>
    <col width="14" customWidth="1" min="10" max="10"/>
    <col width="12" customWidth="1" min="11" max="11"/>
    <col width="12" customWidth="1" min="12" max="12"/>
    <col width="10" customWidth="1" min="13" max="13"/>
    <col width="14" customWidth="1" min="14" max="14"/>
    <col width="12" customWidth="1" min="15" max="15"/>
    <col width="24" customWidth="1" min="16" max="16"/>
  </cols>
  <sheetData>
    <row r="1" ht="28" customHeight="1">
      <c r="A1" s="18" t="inlineStr">
        <is>
          <t>LOB Budget View — Platform / PES</t>
        </is>
      </c>
    </row>
    <row r="2">
      <c r="A2" s="4" t="inlineStr">
        <is>
          <t>Per-LOB consolidated view. Yellow = enter. Green = calculated. One row per project / workstream in this LOB. Cross-LOB Summary rolls these sheets up.</t>
        </is>
      </c>
    </row>
    <row r="4">
      <c r="A4" s="19" t="inlineStr">
        <is>
          <t>LOB</t>
        </is>
      </c>
      <c r="B4" s="6" t="inlineStr">
        <is>
          <t>Platform / PES</t>
        </is>
      </c>
      <c r="C4" s="19" t="inlineStr">
        <is>
          <t>Primary HOE</t>
        </is>
      </c>
      <c r="D4" s="6" t="inlineStr"/>
      <c r="E4" s="19" t="inlineStr">
        <is>
          <t>FY / Period</t>
        </is>
      </c>
      <c r="F4" s="6" t="inlineStr">
        <is>
          <t>FY26</t>
        </is>
      </c>
      <c r="G4" s="19" t="inlineStr">
        <is>
          <t>Currency</t>
        </is>
      </c>
      <c r="H4" s="6" t="inlineStr">
        <is>
          <t>AUD</t>
        </is>
      </c>
      <c r="I4" s="19" t="inlineStr">
        <is>
          <t>Last updated</t>
        </is>
      </c>
      <c r="J4" s="20" t="inlineStr">
        <is>
          <t>2026-10-06</t>
        </is>
      </c>
    </row>
    <row r="6">
      <c r="A6" s="15" t="inlineStr">
        <is>
          <t>LOB SUMMARY (auto from detail below)</t>
        </is>
      </c>
    </row>
    <row r="7">
      <c r="A7" s="21" t="inlineStr"/>
      <c r="B7" s="22">
        <f>SUMIF(A12:A51,"&lt;&gt;",E12:E51)</f>
        <v/>
      </c>
      <c r="C7" s="21" t="inlineStr"/>
      <c r="D7" s="22">
        <f>SUMIF(A12:A51,"&lt;&gt;",H12:H51)</f>
        <v/>
      </c>
      <c r="E7" s="21" t="inlineStr"/>
      <c r="F7" s="22">
        <f>SUMIF(A12:A51,"&lt;&gt;",I12:I51)</f>
        <v/>
      </c>
      <c r="G7" s="21" t="inlineStr"/>
      <c r="H7" s="22">
        <f>SUMIF(A12:A51,"&lt;&gt;",J12:J51)</f>
        <v/>
      </c>
      <c r="I7" s="21" t="inlineStr"/>
      <c r="J7" s="22">
        <f>IF(B7="","",B7-D7)</f>
        <v/>
      </c>
      <c r="K7" s="21" t="inlineStr"/>
      <c r="L7" s="23">
        <f>IF(OR(B7="",B7=0),"",D7/B7)</f>
        <v/>
      </c>
      <c r="M7" s="21" t="inlineStr"/>
      <c r="N7" s="22">
        <f>IF(OR(B7="",H7=""),"",H7-B7)</f>
        <v/>
      </c>
    </row>
    <row r="8">
      <c r="A8" s="24" t="inlineStr">
        <is>
          <t>Total Approved</t>
        </is>
      </c>
      <c r="B8" s="21" t="inlineStr"/>
      <c r="C8" s="24" t="inlineStr">
        <is>
          <t>Total Spent</t>
        </is>
      </c>
      <c r="D8" s="21" t="inlineStr"/>
      <c r="E8" s="24" t="inlineStr">
        <is>
          <t>Unallocated</t>
        </is>
      </c>
      <c r="F8" s="21" t="inlineStr"/>
      <c r="G8" s="24" t="inlineStr">
        <is>
          <t>Forecasted Spend</t>
        </is>
      </c>
      <c r="H8" s="21" t="inlineStr"/>
      <c r="I8" s="24" t="inlineStr">
        <is>
          <t>Remaining</t>
        </is>
      </c>
      <c r="J8" s="21" t="inlineStr"/>
      <c r="K8" s="24" t="inlineStr">
        <is>
          <t>% of Approved Spent</t>
        </is>
      </c>
      <c r="L8" s="21" t="inlineStr"/>
      <c r="M8" s="24" t="inlineStr">
        <is>
          <t>Forecast vs Approved</t>
        </is>
      </c>
      <c r="N8" s="21" t="inlineStr"/>
    </row>
    <row r="10">
      <c r="A10" s="4" t="inlineStr">
        <is>
          <t>Detail by project (enter below). Use filter on Managed by (HOE) to focus one HOE.</t>
        </is>
      </c>
    </row>
    <row r="11" ht="34" customHeight="1">
      <c r="A11" s="5" t="inlineStr">
        <is>
          <t>Project / Workstream</t>
        </is>
      </c>
      <c r="B11" s="5" t="inlineStr">
        <is>
          <t>Initiative / Cost centre</t>
        </is>
      </c>
      <c r="C11" s="5" t="inlineStr">
        <is>
          <t>Cost category</t>
        </is>
      </c>
      <c r="D11" s="5" t="inlineStr">
        <is>
          <t>Managed by (HOE)</t>
        </is>
      </c>
      <c r="E11" s="5" t="inlineStr">
        <is>
          <t>Total Budget Approved</t>
        </is>
      </c>
      <c r="F11" s="5" t="inlineStr">
        <is>
          <t>Approved By</t>
        </is>
      </c>
      <c r="G11" s="5" t="inlineStr">
        <is>
          <t>Approval Date</t>
        </is>
      </c>
      <c r="H11" s="5" t="inlineStr">
        <is>
          <t>Spent (Actual)</t>
        </is>
      </c>
      <c r="I11" s="5" t="inlineStr">
        <is>
          <t>Unallocated</t>
        </is>
      </c>
      <c r="J11" s="5" t="inlineStr">
        <is>
          <t>Forecasted Spend</t>
        </is>
      </c>
      <c r="K11" s="5" t="inlineStr">
        <is>
          <t>Allocated</t>
        </is>
      </c>
      <c r="L11" s="5" t="inlineStr">
        <is>
          <t>Remaining</t>
        </is>
      </c>
      <c r="M11" s="5" t="inlineStr">
        <is>
          <t>% Spent</t>
        </is>
      </c>
      <c r="N11" s="5" t="inlineStr">
        <is>
          <t>Forecast vs Approved</t>
        </is>
      </c>
      <c r="O11" s="5" t="inlineStr">
        <is>
          <t>Status</t>
        </is>
      </c>
      <c r="P11" s="5" t="inlineStr">
        <is>
          <t>Notes</t>
        </is>
      </c>
    </row>
    <row r="12">
      <c r="A12" s="25" t="n"/>
      <c r="B12" s="25" t="n"/>
      <c r="C12" s="26" t="n"/>
      <c r="D12" s="26" t="n"/>
      <c r="E12" s="27" t="n"/>
      <c r="F12" s="26" t="n"/>
      <c r="G12" s="28" t="n"/>
      <c r="H12" s="27" t="n"/>
      <c r="I12" s="27" t="n"/>
      <c r="J12" s="27" t="n"/>
      <c r="K12" s="10">
        <f>IF(OR(E12="",I12=""),"",E12-I12)</f>
        <v/>
      </c>
      <c r="L12" s="10">
        <f>IF(OR(E12="",H12=""),"",E12-H12)</f>
        <v/>
      </c>
      <c r="M12" s="11">
        <f>IF(OR(E12="",E12=0,H12=""),"",H12/E12)</f>
        <v/>
      </c>
      <c r="N12" s="10">
        <f>IF(OR(E12="",J12=""),"",J12-E12)</f>
        <v/>
      </c>
      <c r="O12" s="26" t="n"/>
      <c r="P12" s="25" t="n"/>
    </row>
    <row r="13">
      <c r="A13" s="25" t="n"/>
      <c r="B13" s="25" t="n"/>
      <c r="C13" s="26" t="n"/>
      <c r="D13" s="26" t="n"/>
      <c r="E13" s="27" t="n"/>
      <c r="F13" s="26" t="n"/>
      <c r="G13" s="28" t="n"/>
      <c r="H13" s="27" t="n"/>
      <c r="I13" s="27" t="n"/>
      <c r="J13" s="27" t="n"/>
      <c r="K13" s="10">
        <f>IF(OR(E13="",I13=""),"",E13-I13)</f>
        <v/>
      </c>
      <c r="L13" s="10">
        <f>IF(OR(E13="",H13=""),"",E13-H13)</f>
        <v/>
      </c>
      <c r="M13" s="11">
        <f>IF(OR(E13="",E13=0,H13=""),"",H13/E13)</f>
        <v/>
      </c>
      <c r="N13" s="10">
        <f>IF(OR(E13="",J13=""),"",J13-E13)</f>
        <v/>
      </c>
      <c r="O13" s="26" t="n"/>
      <c r="P13" s="25" t="n"/>
    </row>
    <row r="14">
      <c r="A14" s="25" t="n"/>
      <c r="B14" s="25" t="n"/>
      <c r="C14" s="26" t="n"/>
      <c r="D14" s="26" t="n"/>
      <c r="E14" s="27" t="n"/>
      <c r="F14" s="26" t="n"/>
      <c r="G14" s="28" t="n"/>
      <c r="H14" s="27" t="n"/>
      <c r="I14" s="27" t="n"/>
      <c r="J14" s="27" t="n"/>
      <c r="K14" s="10">
        <f>IF(OR(E14="",I14=""),"",E14-I14)</f>
        <v/>
      </c>
      <c r="L14" s="10">
        <f>IF(OR(E14="",H14=""),"",E14-H14)</f>
        <v/>
      </c>
      <c r="M14" s="11">
        <f>IF(OR(E14="",E14=0,H14=""),"",H14/E14)</f>
        <v/>
      </c>
      <c r="N14" s="10">
        <f>IF(OR(E14="",J14=""),"",J14-E14)</f>
        <v/>
      </c>
      <c r="O14" s="26" t="n"/>
      <c r="P14" s="25" t="n"/>
    </row>
    <row r="15">
      <c r="A15" s="25" t="n"/>
      <c r="B15" s="25" t="n"/>
      <c r="C15" s="26" t="n"/>
      <c r="D15" s="26" t="n"/>
      <c r="E15" s="27" t="n"/>
      <c r="F15" s="26" t="n"/>
      <c r="G15" s="28" t="n"/>
      <c r="H15" s="27" t="n"/>
      <c r="I15" s="27" t="n"/>
      <c r="J15" s="27" t="n"/>
      <c r="K15" s="10">
        <f>IF(OR(E15="",I15=""),"",E15-I15)</f>
        <v/>
      </c>
      <c r="L15" s="10">
        <f>IF(OR(E15="",H15=""),"",E15-H15)</f>
        <v/>
      </c>
      <c r="M15" s="11">
        <f>IF(OR(E15="",E15=0,H15=""),"",H15/E15)</f>
        <v/>
      </c>
      <c r="N15" s="10">
        <f>IF(OR(E15="",J15=""),"",J15-E15)</f>
        <v/>
      </c>
      <c r="O15" s="26" t="n"/>
      <c r="P15" s="25" t="n"/>
    </row>
    <row r="16">
      <c r="A16" s="25" t="n"/>
      <c r="B16" s="25" t="n"/>
      <c r="C16" s="26" t="n"/>
      <c r="D16" s="26" t="n"/>
      <c r="E16" s="27" t="n"/>
      <c r="F16" s="26" t="n"/>
      <c r="G16" s="28" t="n"/>
      <c r="H16" s="27" t="n"/>
      <c r="I16" s="27" t="n"/>
      <c r="J16" s="27" t="n"/>
      <c r="K16" s="10">
        <f>IF(OR(E16="",I16=""),"",E16-I16)</f>
        <v/>
      </c>
      <c r="L16" s="10">
        <f>IF(OR(E16="",H16=""),"",E16-H16)</f>
        <v/>
      </c>
      <c r="M16" s="11">
        <f>IF(OR(E16="",E16=0,H16=""),"",H16/E16)</f>
        <v/>
      </c>
      <c r="N16" s="10">
        <f>IF(OR(E16="",J16=""),"",J16-E16)</f>
        <v/>
      </c>
      <c r="O16" s="26" t="n"/>
      <c r="P16" s="25" t="n"/>
    </row>
    <row r="17">
      <c r="A17" s="25" t="n"/>
      <c r="B17" s="25" t="n"/>
      <c r="C17" s="26" t="n"/>
      <c r="D17" s="26" t="n"/>
      <c r="E17" s="27" t="n"/>
      <c r="F17" s="26" t="n"/>
      <c r="G17" s="28" t="n"/>
      <c r="H17" s="27" t="n"/>
      <c r="I17" s="27" t="n"/>
      <c r="J17" s="27" t="n"/>
      <c r="K17" s="10">
        <f>IF(OR(E17="",I17=""),"",E17-I17)</f>
        <v/>
      </c>
      <c r="L17" s="10">
        <f>IF(OR(E17="",H17=""),"",E17-H17)</f>
        <v/>
      </c>
      <c r="M17" s="11">
        <f>IF(OR(E17="",E17=0,H17=""),"",H17/E17)</f>
        <v/>
      </c>
      <c r="N17" s="10">
        <f>IF(OR(E17="",J17=""),"",J17-E17)</f>
        <v/>
      </c>
      <c r="O17" s="26" t="n"/>
      <c r="P17" s="25" t="n"/>
    </row>
    <row r="18">
      <c r="A18" s="25" t="n"/>
      <c r="B18" s="25" t="n"/>
      <c r="C18" s="26" t="n"/>
      <c r="D18" s="26" t="n"/>
      <c r="E18" s="27" t="n"/>
      <c r="F18" s="26" t="n"/>
      <c r="G18" s="28" t="n"/>
      <c r="H18" s="27" t="n"/>
      <c r="I18" s="27" t="n"/>
      <c r="J18" s="27" t="n"/>
      <c r="K18" s="10">
        <f>IF(OR(E18="",I18=""),"",E18-I18)</f>
        <v/>
      </c>
      <c r="L18" s="10">
        <f>IF(OR(E18="",H18=""),"",E18-H18)</f>
        <v/>
      </c>
      <c r="M18" s="11">
        <f>IF(OR(E18="",E18=0,H18=""),"",H18/E18)</f>
        <v/>
      </c>
      <c r="N18" s="10">
        <f>IF(OR(E18="",J18=""),"",J18-E18)</f>
        <v/>
      </c>
      <c r="O18" s="26" t="n"/>
      <c r="P18" s="25" t="n"/>
    </row>
    <row r="19">
      <c r="A19" s="25" t="n"/>
      <c r="B19" s="25" t="n"/>
      <c r="C19" s="26" t="n"/>
      <c r="D19" s="26" t="n"/>
      <c r="E19" s="27" t="n"/>
      <c r="F19" s="26" t="n"/>
      <c r="G19" s="28" t="n"/>
      <c r="H19" s="27" t="n"/>
      <c r="I19" s="27" t="n"/>
      <c r="J19" s="27" t="n"/>
      <c r="K19" s="10">
        <f>IF(OR(E19="",I19=""),"",E19-I19)</f>
        <v/>
      </c>
      <c r="L19" s="10">
        <f>IF(OR(E19="",H19=""),"",E19-H19)</f>
        <v/>
      </c>
      <c r="M19" s="11">
        <f>IF(OR(E19="",E19=0,H19=""),"",H19/E19)</f>
        <v/>
      </c>
      <c r="N19" s="10">
        <f>IF(OR(E19="",J19=""),"",J19-E19)</f>
        <v/>
      </c>
      <c r="O19" s="26" t="n"/>
      <c r="P19" s="25" t="n"/>
    </row>
    <row r="20">
      <c r="A20" s="25" t="n"/>
      <c r="B20" s="25" t="n"/>
      <c r="C20" s="26" t="n"/>
      <c r="D20" s="26" t="n"/>
      <c r="E20" s="27" t="n"/>
      <c r="F20" s="26" t="n"/>
      <c r="G20" s="28" t="n"/>
      <c r="H20" s="27" t="n"/>
      <c r="I20" s="27" t="n"/>
      <c r="J20" s="27" t="n"/>
      <c r="K20" s="10">
        <f>IF(OR(E20="",I20=""),"",E20-I20)</f>
        <v/>
      </c>
      <c r="L20" s="10">
        <f>IF(OR(E20="",H20=""),"",E20-H20)</f>
        <v/>
      </c>
      <c r="M20" s="11">
        <f>IF(OR(E20="",E20=0,H20=""),"",H20/E20)</f>
        <v/>
      </c>
      <c r="N20" s="10">
        <f>IF(OR(E20="",J20=""),"",J20-E20)</f>
        <v/>
      </c>
      <c r="O20" s="26" t="n"/>
      <c r="P20" s="25" t="n"/>
    </row>
    <row r="21">
      <c r="A21" s="25" t="n"/>
      <c r="B21" s="25" t="n"/>
      <c r="C21" s="26" t="n"/>
      <c r="D21" s="26" t="n"/>
      <c r="E21" s="27" t="n"/>
      <c r="F21" s="26" t="n"/>
      <c r="G21" s="28" t="n"/>
      <c r="H21" s="27" t="n"/>
      <c r="I21" s="27" t="n"/>
      <c r="J21" s="27" t="n"/>
      <c r="K21" s="10">
        <f>IF(OR(E21="",I21=""),"",E21-I21)</f>
        <v/>
      </c>
      <c r="L21" s="10">
        <f>IF(OR(E21="",H21=""),"",E21-H21)</f>
        <v/>
      </c>
      <c r="M21" s="11">
        <f>IF(OR(E21="",E21=0,H21=""),"",H21/E21)</f>
        <v/>
      </c>
      <c r="N21" s="10">
        <f>IF(OR(E21="",J21=""),"",J21-E21)</f>
        <v/>
      </c>
      <c r="O21" s="26" t="n"/>
      <c r="P21" s="25" t="n"/>
    </row>
    <row r="22">
      <c r="A22" s="25" t="n"/>
      <c r="B22" s="25" t="n"/>
      <c r="C22" s="26" t="n"/>
      <c r="D22" s="26" t="n"/>
      <c r="E22" s="27" t="n"/>
      <c r="F22" s="26" t="n"/>
      <c r="G22" s="28" t="n"/>
      <c r="H22" s="27" t="n"/>
      <c r="I22" s="27" t="n"/>
      <c r="J22" s="27" t="n"/>
      <c r="K22" s="10">
        <f>IF(OR(E22="",I22=""),"",E22-I22)</f>
        <v/>
      </c>
      <c r="L22" s="10">
        <f>IF(OR(E22="",H22=""),"",E22-H22)</f>
        <v/>
      </c>
      <c r="M22" s="11">
        <f>IF(OR(E22="",E22=0,H22=""),"",H22/E22)</f>
        <v/>
      </c>
      <c r="N22" s="10">
        <f>IF(OR(E22="",J22=""),"",J22-E22)</f>
        <v/>
      </c>
      <c r="O22" s="26" t="n"/>
      <c r="P22" s="25" t="n"/>
    </row>
    <row r="23">
      <c r="A23" s="25" t="n"/>
      <c r="B23" s="25" t="n"/>
      <c r="C23" s="26" t="n"/>
      <c r="D23" s="26" t="n"/>
      <c r="E23" s="27" t="n"/>
      <c r="F23" s="26" t="n"/>
      <c r="G23" s="28" t="n"/>
      <c r="H23" s="27" t="n"/>
      <c r="I23" s="27" t="n"/>
      <c r="J23" s="27" t="n"/>
      <c r="K23" s="10">
        <f>IF(OR(E23="",I23=""),"",E23-I23)</f>
        <v/>
      </c>
      <c r="L23" s="10">
        <f>IF(OR(E23="",H23=""),"",E23-H23)</f>
        <v/>
      </c>
      <c r="M23" s="11">
        <f>IF(OR(E23="",E23=0,H23=""),"",H23/E23)</f>
        <v/>
      </c>
      <c r="N23" s="10">
        <f>IF(OR(E23="",J23=""),"",J23-E23)</f>
        <v/>
      </c>
      <c r="O23" s="26" t="n"/>
      <c r="P23" s="25" t="n"/>
    </row>
    <row r="24">
      <c r="A24" s="25" t="n"/>
      <c r="B24" s="25" t="n"/>
      <c r="C24" s="26" t="n"/>
      <c r="D24" s="26" t="n"/>
      <c r="E24" s="27" t="n"/>
      <c r="F24" s="26" t="n"/>
      <c r="G24" s="28" t="n"/>
      <c r="H24" s="27" t="n"/>
      <c r="I24" s="27" t="n"/>
      <c r="J24" s="27" t="n"/>
      <c r="K24" s="10">
        <f>IF(OR(E24="",I24=""),"",E24-I24)</f>
        <v/>
      </c>
      <c r="L24" s="10">
        <f>IF(OR(E24="",H24=""),"",E24-H24)</f>
        <v/>
      </c>
      <c r="M24" s="11">
        <f>IF(OR(E24="",E24=0,H24=""),"",H24/E24)</f>
        <v/>
      </c>
      <c r="N24" s="10">
        <f>IF(OR(E24="",J24=""),"",J24-E24)</f>
        <v/>
      </c>
      <c r="O24" s="26" t="n"/>
      <c r="P24" s="25" t="n"/>
    </row>
    <row r="25">
      <c r="A25" s="25" t="n"/>
      <c r="B25" s="25" t="n"/>
      <c r="C25" s="26" t="n"/>
      <c r="D25" s="26" t="n"/>
      <c r="E25" s="27" t="n"/>
      <c r="F25" s="26" t="n"/>
      <c r="G25" s="28" t="n"/>
      <c r="H25" s="27" t="n"/>
      <c r="I25" s="27" t="n"/>
      <c r="J25" s="27" t="n"/>
      <c r="K25" s="10">
        <f>IF(OR(E25="",I25=""),"",E25-I25)</f>
        <v/>
      </c>
      <c r="L25" s="10">
        <f>IF(OR(E25="",H25=""),"",E25-H25)</f>
        <v/>
      </c>
      <c r="M25" s="11">
        <f>IF(OR(E25="",E25=0,H25=""),"",H25/E25)</f>
        <v/>
      </c>
      <c r="N25" s="10">
        <f>IF(OR(E25="",J25=""),"",J25-E25)</f>
        <v/>
      </c>
      <c r="O25" s="26" t="n"/>
      <c r="P25" s="25" t="n"/>
    </row>
    <row r="26">
      <c r="A26" s="25" t="n"/>
      <c r="B26" s="25" t="n"/>
      <c r="C26" s="26" t="n"/>
      <c r="D26" s="26" t="n"/>
      <c r="E26" s="27" t="n"/>
      <c r="F26" s="26" t="n"/>
      <c r="G26" s="28" t="n"/>
      <c r="H26" s="27" t="n"/>
      <c r="I26" s="27" t="n"/>
      <c r="J26" s="27" t="n"/>
      <c r="K26" s="10">
        <f>IF(OR(E26="",I26=""),"",E26-I26)</f>
        <v/>
      </c>
      <c r="L26" s="10">
        <f>IF(OR(E26="",H26=""),"",E26-H26)</f>
        <v/>
      </c>
      <c r="M26" s="11">
        <f>IF(OR(E26="",E26=0,H26=""),"",H26/E26)</f>
        <v/>
      </c>
      <c r="N26" s="10">
        <f>IF(OR(E26="",J26=""),"",J26-E26)</f>
        <v/>
      </c>
      <c r="O26" s="26" t="n"/>
      <c r="P26" s="25" t="n"/>
    </row>
    <row r="27">
      <c r="A27" s="25" t="n"/>
      <c r="B27" s="25" t="n"/>
      <c r="C27" s="26" t="n"/>
      <c r="D27" s="26" t="n"/>
      <c r="E27" s="27" t="n"/>
      <c r="F27" s="26" t="n"/>
      <c r="G27" s="28" t="n"/>
      <c r="H27" s="27" t="n"/>
      <c r="I27" s="27" t="n"/>
      <c r="J27" s="27" t="n"/>
      <c r="K27" s="10">
        <f>IF(OR(E27="",I27=""),"",E27-I27)</f>
        <v/>
      </c>
      <c r="L27" s="10">
        <f>IF(OR(E27="",H27=""),"",E27-H27)</f>
        <v/>
      </c>
      <c r="M27" s="11">
        <f>IF(OR(E27="",E27=0,H27=""),"",H27/E27)</f>
        <v/>
      </c>
      <c r="N27" s="10">
        <f>IF(OR(E27="",J27=""),"",J27-E27)</f>
        <v/>
      </c>
      <c r="O27" s="26" t="n"/>
      <c r="P27" s="25" t="n"/>
    </row>
    <row r="28">
      <c r="A28" s="25" t="n"/>
      <c r="B28" s="25" t="n"/>
      <c r="C28" s="26" t="n"/>
      <c r="D28" s="26" t="n"/>
      <c r="E28" s="27" t="n"/>
      <c r="F28" s="26" t="n"/>
      <c r="G28" s="28" t="n"/>
      <c r="H28" s="27" t="n"/>
      <c r="I28" s="27" t="n"/>
      <c r="J28" s="27" t="n"/>
      <c r="K28" s="10">
        <f>IF(OR(E28="",I28=""),"",E28-I28)</f>
        <v/>
      </c>
      <c r="L28" s="10">
        <f>IF(OR(E28="",H28=""),"",E28-H28)</f>
        <v/>
      </c>
      <c r="M28" s="11">
        <f>IF(OR(E28="",E28=0,H28=""),"",H28/E28)</f>
        <v/>
      </c>
      <c r="N28" s="10">
        <f>IF(OR(E28="",J28=""),"",J28-E28)</f>
        <v/>
      </c>
      <c r="O28" s="26" t="n"/>
      <c r="P28" s="25" t="n"/>
    </row>
    <row r="29">
      <c r="A29" s="25" t="n"/>
      <c r="B29" s="25" t="n"/>
      <c r="C29" s="26" t="n"/>
      <c r="D29" s="26" t="n"/>
      <c r="E29" s="27" t="n"/>
      <c r="F29" s="26" t="n"/>
      <c r="G29" s="28" t="n"/>
      <c r="H29" s="27" t="n"/>
      <c r="I29" s="27" t="n"/>
      <c r="J29" s="27" t="n"/>
      <c r="K29" s="10">
        <f>IF(OR(E29="",I29=""),"",E29-I29)</f>
        <v/>
      </c>
      <c r="L29" s="10">
        <f>IF(OR(E29="",H29=""),"",E29-H29)</f>
        <v/>
      </c>
      <c r="M29" s="11">
        <f>IF(OR(E29="",E29=0,H29=""),"",H29/E29)</f>
        <v/>
      </c>
      <c r="N29" s="10">
        <f>IF(OR(E29="",J29=""),"",J29-E29)</f>
        <v/>
      </c>
      <c r="O29" s="26" t="n"/>
      <c r="P29" s="25" t="n"/>
    </row>
    <row r="30">
      <c r="A30" s="25" t="n"/>
      <c r="B30" s="25" t="n"/>
      <c r="C30" s="26" t="n"/>
      <c r="D30" s="26" t="n"/>
      <c r="E30" s="27" t="n"/>
      <c r="F30" s="26" t="n"/>
      <c r="G30" s="28" t="n"/>
      <c r="H30" s="27" t="n"/>
      <c r="I30" s="27" t="n"/>
      <c r="J30" s="27" t="n"/>
      <c r="K30" s="10">
        <f>IF(OR(E30="",I30=""),"",E30-I30)</f>
        <v/>
      </c>
      <c r="L30" s="10">
        <f>IF(OR(E30="",H30=""),"",E30-H30)</f>
        <v/>
      </c>
      <c r="M30" s="11">
        <f>IF(OR(E30="",E30=0,H30=""),"",H30/E30)</f>
        <v/>
      </c>
      <c r="N30" s="10">
        <f>IF(OR(E30="",J30=""),"",J30-E30)</f>
        <v/>
      </c>
      <c r="O30" s="26" t="n"/>
      <c r="P30" s="25" t="n"/>
    </row>
    <row r="31">
      <c r="A31" s="25" t="n"/>
      <c r="B31" s="25" t="n"/>
      <c r="C31" s="26" t="n"/>
      <c r="D31" s="26" t="n"/>
      <c r="E31" s="27" t="n"/>
      <c r="F31" s="26" t="n"/>
      <c r="G31" s="28" t="n"/>
      <c r="H31" s="27" t="n"/>
      <c r="I31" s="27" t="n"/>
      <c r="J31" s="27" t="n"/>
      <c r="K31" s="10">
        <f>IF(OR(E31="",I31=""),"",E31-I31)</f>
        <v/>
      </c>
      <c r="L31" s="10">
        <f>IF(OR(E31="",H31=""),"",E31-H31)</f>
        <v/>
      </c>
      <c r="M31" s="11">
        <f>IF(OR(E31="",E31=0,H31=""),"",H31/E31)</f>
        <v/>
      </c>
      <c r="N31" s="10">
        <f>IF(OR(E31="",J31=""),"",J31-E31)</f>
        <v/>
      </c>
      <c r="O31" s="26" t="n"/>
      <c r="P31" s="25" t="n"/>
    </row>
    <row r="32">
      <c r="A32" s="25" t="n"/>
      <c r="B32" s="25" t="n"/>
      <c r="C32" s="26" t="n"/>
      <c r="D32" s="26" t="n"/>
      <c r="E32" s="27" t="n"/>
      <c r="F32" s="26" t="n"/>
      <c r="G32" s="28" t="n"/>
      <c r="H32" s="27" t="n"/>
      <c r="I32" s="27" t="n"/>
      <c r="J32" s="27" t="n"/>
      <c r="K32" s="10">
        <f>IF(OR(E32="",I32=""),"",E32-I32)</f>
        <v/>
      </c>
      <c r="L32" s="10">
        <f>IF(OR(E32="",H32=""),"",E32-H32)</f>
        <v/>
      </c>
      <c r="M32" s="11">
        <f>IF(OR(E32="",E32=0,H32=""),"",H32/E32)</f>
        <v/>
      </c>
      <c r="N32" s="10">
        <f>IF(OR(E32="",J32=""),"",J32-E32)</f>
        <v/>
      </c>
      <c r="O32" s="26" t="n"/>
      <c r="P32" s="25" t="n"/>
    </row>
    <row r="33">
      <c r="A33" s="25" t="n"/>
      <c r="B33" s="25" t="n"/>
      <c r="C33" s="26" t="n"/>
      <c r="D33" s="26" t="n"/>
      <c r="E33" s="27" t="n"/>
      <c r="F33" s="26" t="n"/>
      <c r="G33" s="28" t="n"/>
      <c r="H33" s="27" t="n"/>
      <c r="I33" s="27" t="n"/>
      <c r="J33" s="27" t="n"/>
      <c r="K33" s="10">
        <f>IF(OR(E33="",I33=""),"",E33-I33)</f>
        <v/>
      </c>
      <c r="L33" s="10">
        <f>IF(OR(E33="",H33=""),"",E33-H33)</f>
        <v/>
      </c>
      <c r="M33" s="11">
        <f>IF(OR(E33="",E33=0,H33=""),"",H33/E33)</f>
        <v/>
      </c>
      <c r="N33" s="10">
        <f>IF(OR(E33="",J33=""),"",J33-E33)</f>
        <v/>
      </c>
      <c r="O33" s="26" t="n"/>
      <c r="P33" s="25" t="n"/>
    </row>
    <row r="34">
      <c r="A34" s="25" t="n"/>
      <c r="B34" s="25" t="n"/>
      <c r="C34" s="26" t="n"/>
      <c r="D34" s="26" t="n"/>
      <c r="E34" s="27" t="n"/>
      <c r="F34" s="26" t="n"/>
      <c r="G34" s="28" t="n"/>
      <c r="H34" s="27" t="n"/>
      <c r="I34" s="27" t="n"/>
      <c r="J34" s="27" t="n"/>
      <c r="K34" s="10">
        <f>IF(OR(E34="",I34=""),"",E34-I34)</f>
        <v/>
      </c>
      <c r="L34" s="10">
        <f>IF(OR(E34="",H34=""),"",E34-H34)</f>
        <v/>
      </c>
      <c r="M34" s="11">
        <f>IF(OR(E34="",E34=0,H34=""),"",H34/E34)</f>
        <v/>
      </c>
      <c r="N34" s="10">
        <f>IF(OR(E34="",J34=""),"",J34-E34)</f>
        <v/>
      </c>
      <c r="O34" s="26" t="n"/>
      <c r="P34" s="25" t="n"/>
    </row>
    <row r="35">
      <c r="A35" s="25" t="n"/>
      <c r="B35" s="25" t="n"/>
      <c r="C35" s="26" t="n"/>
      <c r="D35" s="26" t="n"/>
      <c r="E35" s="27" t="n"/>
      <c r="F35" s="26" t="n"/>
      <c r="G35" s="28" t="n"/>
      <c r="H35" s="27" t="n"/>
      <c r="I35" s="27" t="n"/>
      <c r="J35" s="27" t="n"/>
      <c r="K35" s="10">
        <f>IF(OR(E35="",I35=""),"",E35-I35)</f>
        <v/>
      </c>
      <c r="L35" s="10">
        <f>IF(OR(E35="",H35=""),"",E35-H35)</f>
        <v/>
      </c>
      <c r="M35" s="11">
        <f>IF(OR(E35="",E35=0,H35=""),"",H35/E35)</f>
        <v/>
      </c>
      <c r="N35" s="10">
        <f>IF(OR(E35="",J35=""),"",J35-E35)</f>
        <v/>
      </c>
      <c r="O35" s="26" t="n"/>
      <c r="P35" s="25" t="n"/>
    </row>
    <row r="36">
      <c r="A36" s="25" t="n"/>
      <c r="B36" s="25" t="n"/>
      <c r="C36" s="26" t="n"/>
      <c r="D36" s="26" t="n"/>
      <c r="E36" s="27" t="n"/>
      <c r="F36" s="26" t="n"/>
      <c r="G36" s="28" t="n"/>
      <c r="H36" s="27" t="n"/>
      <c r="I36" s="27" t="n"/>
      <c r="J36" s="27" t="n"/>
      <c r="K36" s="10">
        <f>IF(OR(E36="",I36=""),"",E36-I36)</f>
        <v/>
      </c>
      <c r="L36" s="10">
        <f>IF(OR(E36="",H36=""),"",E36-H36)</f>
        <v/>
      </c>
      <c r="M36" s="11">
        <f>IF(OR(E36="",E36=0,H36=""),"",H36/E36)</f>
        <v/>
      </c>
      <c r="N36" s="10">
        <f>IF(OR(E36="",J36=""),"",J36-E36)</f>
        <v/>
      </c>
      <c r="O36" s="26" t="n"/>
      <c r="P36" s="25" t="n"/>
    </row>
    <row r="37">
      <c r="A37" s="25" t="n"/>
      <c r="B37" s="25" t="n"/>
      <c r="C37" s="26" t="n"/>
      <c r="D37" s="26" t="n"/>
      <c r="E37" s="27" t="n"/>
      <c r="F37" s="26" t="n"/>
      <c r="G37" s="28" t="n"/>
      <c r="H37" s="27" t="n"/>
      <c r="I37" s="27" t="n"/>
      <c r="J37" s="27" t="n"/>
      <c r="K37" s="10">
        <f>IF(OR(E37="",I37=""),"",E37-I37)</f>
        <v/>
      </c>
      <c r="L37" s="10">
        <f>IF(OR(E37="",H37=""),"",E37-H37)</f>
        <v/>
      </c>
      <c r="M37" s="11">
        <f>IF(OR(E37="",E37=0,H37=""),"",H37/E37)</f>
        <v/>
      </c>
      <c r="N37" s="10">
        <f>IF(OR(E37="",J37=""),"",J37-E37)</f>
        <v/>
      </c>
      <c r="O37" s="26" t="n"/>
      <c r="P37" s="25" t="n"/>
    </row>
    <row r="38">
      <c r="A38" s="25" t="n"/>
      <c r="B38" s="25" t="n"/>
      <c r="C38" s="26" t="n"/>
      <c r="D38" s="26" t="n"/>
      <c r="E38" s="27" t="n"/>
      <c r="F38" s="26" t="n"/>
      <c r="G38" s="28" t="n"/>
      <c r="H38" s="27" t="n"/>
      <c r="I38" s="27" t="n"/>
      <c r="J38" s="27" t="n"/>
      <c r="K38" s="10">
        <f>IF(OR(E38="",I38=""),"",E38-I38)</f>
        <v/>
      </c>
      <c r="L38" s="10">
        <f>IF(OR(E38="",H38=""),"",E38-H38)</f>
        <v/>
      </c>
      <c r="M38" s="11">
        <f>IF(OR(E38="",E38=0,H38=""),"",H38/E38)</f>
        <v/>
      </c>
      <c r="N38" s="10">
        <f>IF(OR(E38="",J38=""),"",J38-E38)</f>
        <v/>
      </c>
      <c r="O38" s="26" t="n"/>
      <c r="P38" s="25" t="n"/>
    </row>
    <row r="39">
      <c r="A39" s="25" t="n"/>
      <c r="B39" s="25" t="n"/>
      <c r="C39" s="26" t="n"/>
      <c r="D39" s="26" t="n"/>
      <c r="E39" s="27" t="n"/>
      <c r="F39" s="26" t="n"/>
      <c r="G39" s="28" t="n"/>
      <c r="H39" s="27" t="n"/>
      <c r="I39" s="27" t="n"/>
      <c r="J39" s="27" t="n"/>
      <c r="K39" s="10">
        <f>IF(OR(E39="",I39=""),"",E39-I39)</f>
        <v/>
      </c>
      <c r="L39" s="10">
        <f>IF(OR(E39="",H39=""),"",E39-H39)</f>
        <v/>
      </c>
      <c r="M39" s="11">
        <f>IF(OR(E39="",E39=0,H39=""),"",H39/E39)</f>
        <v/>
      </c>
      <c r="N39" s="10">
        <f>IF(OR(E39="",J39=""),"",J39-E39)</f>
        <v/>
      </c>
      <c r="O39" s="26" t="n"/>
      <c r="P39" s="25" t="n"/>
    </row>
    <row r="40">
      <c r="A40" s="25" t="n"/>
      <c r="B40" s="25" t="n"/>
      <c r="C40" s="26" t="n"/>
      <c r="D40" s="26" t="n"/>
      <c r="E40" s="27" t="n"/>
      <c r="F40" s="26" t="n"/>
      <c r="G40" s="28" t="n"/>
      <c r="H40" s="27" t="n"/>
      <c r="I40" s="27" t="n"/>
      <c r="J40" s="27" t="n"/>
      <c r="K40" s="10">
        <f>IF(OR(E40="",I40=""),"",E40-I40)</f>
        <v/>
      </c>
      <c r="L40" s="10">
        <f>IF(OR(E40="",H40=""),"",E40-H40)</f>
        <v/>
      </c>
      <c r="M40" s="11">
        <f>IF(OR(E40="",E40=0,H40=""),"",H40/E40)</f>
        <v/>
      </c>
      <c r="N40" s="10">
        <f>IF(OR(E40="",J40=""),"",J40-E40)</f>
        <v/>
      </c>
      <c r="O40" s="26" t="n"/>
      <c r="P40" s="25" t="n"/>
    </row>
    <row r="41">
      <c r="A41" s="25" t="n"/>
      <c r="B41" s="25" t="n"/>
      <c r="C41" s="26" t="n"/>
      <c r="D41" s="26" t="n"/>
      <c r="E41" s="27" t="n"/>
      <c r="F41" s="26" t="n"/>
      <c r="G41" s="28" t="n"/>
      <c r="H41" s="27" t="n"/>
      <c r="I41" s="27" t="n"/>
      <c r="J41" s="27" t="n"/>
      <c r="K41" s="10">
        <f>IF(OR(E41="",I41=""),"",E41-I41)</f>
        <v/>
      </c>
      <c r="L41" s="10">
        <f>IF(OR(E41="",H41=""),"",E41-H41)</f>
        <v/>
      </c>
      <c r="M41" s="11">
        <f>IF(OR(E41="",E41=0,H41=""),"",H41/E41)</f>
        <v/>
      </c>
      <c r="N41" s="10">
        <f>IF(OR(E41="",J41=""),"",J41-E41)</f>
        <v/>
      </c>
      <c r="O41" s="26" t="n"/>
      <c r="P41" s="25" t="n"/>
    </row>
    <row r="42">
      <c r="A42" s="25" t="n"/>
      <c r="B42" s="25" t="n"/>
      <c r="C42" s="26" t="n"/>
      <c r="D42" s="26" t="n"/>
      <c r="E42" s="27" t="n"/>
      <c r="F42" s="26" t="n"/>
      <c r="G42" s="28" t="n"/>
      <c r="H42" s="27" t="n"/>
      <c r="I42" s="27" t="n"/>
      <c r="J42" s="27" t="n"/>
      <c r="K42" s="10">
        <f>IF(OR(E42="",I42=""),"",E42-I42)</f>
        <v/>
      </c>
      <c r="L42" s="10">
        <f>IF(OR(E42="",H42=""),"",E42-H42)</f>
        <v/>
      </c>
      <c r="M42" s="11">
        <f>IF(OR(E42="",E42=0,H42=""),"",H42/E42)</f>
        <v/>
      </c>
      <c r="N42" s="10">
        <f>IF(OR(E42="",J42=""),"",J42-E42)</f>
        <v/>
      </c>
      <c r="O42" s="26" t="n"/>
      <c r="P42" s="25" t="n"/>
    </row>
    <row r="43">
      <c r="A43" s="25" t="n"/>
      <c r="B43" s="25" t="n"/>
      <c r="C43" s="26" t="n"/>
      <c r="D43" s="26" t="n"/>
      <c r="E43" s="27" t="n"/>
      <c r="F43" s="26" t="n"/>
      <c r="G43" s="28" t="n"/>
      <c r="H43" s="27" t="n"/>
      <c r="I43" s="27" t="n"/>
      <c r="J43" s="27" t="n"/>
      <c r="K43" s="10">
        <f>IF(OR(E43="",I43=""),"",E43-I43)</f>
        <v/>
      </c>
      <c r="L43" s="10">
        <f>IF(OR(E43="",H43=""),"",E43-H43)</f>
        <v/>
      </c>
      <c r="M43" s="11">
        <f>IF(OR(E43="",E43=0,H43=""),"",H43/E43)</f>
        <v/>
      </c>
      <c r="N43" s="10">
        <f>IF(OR(E43="",J43=""),"",J43-E43)</f>
        <v/>
      </c>
      <c r="O43" s="26" t="n"/>
      <c r="P43" s="25" t="n"/>
    </row>
    <row r="44">
      <c r="A44" s="25" t="n"/>
      <c r="B44" s="25" t="n"/>
      <c r="C44" s="26" t="n"/>
      <c r="D44" s="26" t="n"/>
      <c r="E44" s="27" t="n"/>
      <c r="F44" s="26" t="n"/>
      <c r="G44" s="28" t="n"/>
      <c r="H44" s="27" t="n"/>
      <c r="I44" s="27" t="n"/>
      <c r="J44" s="27" t="n"/>
      <c r="K44" s="10">
        <f>IF(OR(E44="",I44=""),"",E44-I44)</f>
        <v/>
      </c>
      <c r="L44" s="10">
        <f>IF(OR(E44="",H44=""),"",E44-H44)</f>
        <v/>
      </c>
      <c r="M44" s="11">
        <f>IF(OR(E44="",E44=0,H44=""),"",H44/E44)</f>
        <v/>
      </c>
      <c r="N44" s="10">
        <f>IF(OR(E44="",J44=""),"",J44-E44)</f>
        <v/>
      </c>
      <c r="O44" s="26" t="n"/>
      <c r="P44" s="25" t="n"/>
    </row>
    <row r="45">
      <c r="A45" s="25" t="n"/>
      <c r="B45" s="25" t="n"/>
      <c r="C45" s="26" t="n"/>
      <c r="D45" s="26" t="n"/>
      <c r="E45" s="27" t="n"/>
      <c r="F45" s="26" t="n"/>
      <c r="G45" s="28" t="n"/>
      <c r="H45" s="27" t="n"/>
      <c r="I45" s="27" t="n"/>
      <c r="J45" s="27" t="n"/>
      <c r="K45" s="10">
        <f>IF(OR(E45="",I45=""),"",E45-I45)</f>
        <v/>
      </c>
      <c r="L45" s="10">
        <f>IF(OR(E45="",H45=""),"",E45-H45)</f>
        <v/>
      </c>
      <c r="M45" s="11">
        <f>IF(OR(E45="",E45=0,H45=""),"",H45/E45)</f>
        <v/>
      </c>
      <c r="N45" s="10">
        <f>IF(OR(E45="",J45=""),"",J45-E45)</f>
        <v/>
      </c>
      <c r="O45" s="26" t="n"/>
      <c r="P45" s="25" t="n"/>
    </row>
    <row r="46">
      <c r="A46" s="25" t="n"/>
      <c r="B46" s="25" t="n"/>
      <c r="C46" s="26" t="n"/>
      <c r="D46" s="26" t="n"/>
      <c r="E46" s="27" t="n"/>
      <c r="F46" s="26" t="n"/>
      <c r="G46" s="28" t="n"/>
      <c r="H46" s="27" t="n"/>
      <c r="I46" s="27" t="n"/>
      <c r="J46" s="27" t="n"/>
      <c r="K46" s="10">
        <f>IF(OR(E46="",I46=""),"",E46-I46)</f>
        <v/>
      </c>
      <c r="L46" s="10">
        <f>IF(OR(E46="",H46=""),"",E46-H46)</f>
        <v/>
      </c>
      <c r="M46" s="11">
        <f>IF(OR(E46="",E46=0,H46=""),"",H46/E46)</f>
        <v/>
      </c>
      <c r="N46" s="10">
        <f>IF(OR(E46="",J46=""),"",J46-E46)</f>
        <v/>
      </c>
      <c r="O46" s="26" t="n"/>
      <c r="P46" s="25" t="n"/>
    </row>
    <row r="47">
      <c r="A47" s="25" t="n"/>
      <c r="B47" s="25" t="n"/>
      <c r="C47" s="26" t="n"/>
      <c r="D47" s="26" t="n"/>
      <c r="E47" s="27" t="n"/>
      <c r="F47" s="26" t="n"/>
      <c r="G47" s="28" t="n"/>
      <c r="H47" s="27" t="n"/>
      <c r="I47" s="27" t="n"/>
      <c r="J47" s="27" t="n"/>
      <c r="K47" s="10">
        <f>IF(OR(E47="",I47=""),"",E47-I47)</f>
        <v/>
      </c>
      <c r="L47" s="10">
        <f>IF(OR(E47="",H47=""),"",E47-H47)</f>
        <v/>
      </c>
      <c r="M47" s="11">
        <f>IF(OR(E47="",E47=0,H47=""),"",H47/E47)</f>
        <v/>
      </c>
      <c r="N47" s="10">
        <f>IF(OR(E47="",J47=""),"",J47-E47)</f>
        <v/>
      </c>
      <c r="O47" s="26" t="n"/>
      <c r="P47" s="25" t="n"/>
    </row>
    <row r="48">
      <c r="A48" s="25" t="n"/>
      <c r="B48" s="25" t="n"/>
      <c r="C48" s="26" t="n"/>
      <c r="D48" s="26" t="n"/>
      <c r="E48" s="27" t="n"/>
      <c r="F48" s="26" t="n"/>
      <c r="G48" s="28" t="n"/>
      <c r="H48" s="27" t="n"/>
      <c r="I48" s="27" t="n"/>
      <c r="J48" s="27" t="n"/>
      <c r="K48" s="10">
        <f>IF(OR(E48="",I48=""),"",E48-I48)</f>
        <v/>
      </c>
      <c r="L48" s="10">
        <f>IF(OR(E48="",H48=""),"",E48-H48)</f>
        <v/>
      </c>
      <c r="M48" s="11">
        <f>IF(OR(E48="",E48=0,H48=""),"",H48/E48)</f>
        <v/>
      </c>
      <c r="N48" s="10">
        <f>IF(OR(E48="",J48=""),"",J48-E48)</f>
        <v/>
      </c>
      <c r="O48" s="26" t="n"/>
      <c r="P48" s="25" t="n"/>
    </row>
    <row r="49">
      <c r="A49" s="25" t="n"/>
      <c r="B49" s="25" t="n"/>
      <c r="C49" s="26" t="n"/>
      <c r="D49" s="26" t="n"/>
      <c r="E49" s="27" t="n"/>
      <c r="F49" s="26" t="n"/>
      <c r="G49" s="28" t="n"/>
      <c r="H49" s="27" t="n"/>
      <c r="I49" s="27" t="n"/>
      <c r="J49" s="27" t="n"/>
      <c r="K49" s="10">
        <f>IF(OR(E49="",I49=""),"",E49-I49)</f>
        <v/>
      </c>
      <c r="L49" s="10">
        <f>IF(OR(E49="",H49=""),"",E49-H49)</f>
        <v/>
      </c>
      <c r="M49" s="11">
        <f>IF(OR(E49="",E49=0,H49=""),"",H49/E49)</f>
        <v/>
      </c>
      <c r="N49" s="10">
        <f>IF(OR(E49="",J49=""),"",J49-E49)</f>
        <v/>
      </c>
      <c r="O49" s="26" t="n"/>
      <c r="P49" s="25" t="n"/>
    </row>
    <row r="50">
      <c r="A50" s="25" t="n"/>
      <c r="B50" s="25" t="n"/>
      <c r="C50" s="26" t="n"/>
      <c r="D50" s="26" t="n"/>
      <c r="E50" s="27" t="n"/>
      <c r="F50" s="26" t="n"/>
      <c r="G50" s="28" t="n"/>
      <c r="H50" s="27" t="n"/>
      <c r="I50" s="27" t="n"/>
      <c r="J50" s="27" t="n"/>
      <c r="K50" s="10">
        <f>IF(OR(E50="",I50=""),"",E50-I50)</f>
        <v/>
      </c>
      <c r="L50" s="10">
        <f>IF(OR(E50="",H50=""),"",E50-H50)</f>
        <v/>
      </c>
      <c r="M50" s="11">
        <f>IF(OR(E50="",E50=0,H50=""),"",H50/E50)</f>
        <v/>
      </c>
      <c r="N50" s="10">
        <f>IF(OR(E50="",J50=""),"",J50-E50)</f>
        <v/>
      </c>
      <c r="O50" s="26" t="n"/>
      <c r="P50" s="25" t="n"/>
    </row>
    <row r="51">
      <c r="A51" s="25" t="n"/>
      <c r="B51" s="25" t="n"/>
      <c r="C51" s="26" t="n"/>
      <c r="D51" s="26" t="n"/>
      <c r="E51" s="27" t="n"/>
      <c r="F51" s="26" t="n"/>
      <c r="G51" s="28" t="n"/>
      <c r="H51" s="27" t="n"/>
      <c r="I51" s="27" t="n"/>
      <c r="J51" s="27" t="n"/>
      <c r="K51" s="10">
        <f>IF(OR(E51="",I51=""),"",E51-I51)</f>
        <v/>
      </c>
      <c r="L51" s="10">
        <f>IF(OR(E51="",H51=""),"",E51-H51)</f>
        <v/>
      </c>
      <c r="M51" s="11">
        <f>IF(OR(E51="",E51=0,H51=""),"",H51/E51)</f>
        <v/>
      </c>
      <c r="N51" s="10">
        <f>IF(OR(E51="",J51=""),"",J51-E51)</f>
        <v/>
      </c>
      <c r="O51" s="26" t="n"/>
      <c r="P51" s="25" t="n"/>
    </row>
    <row r="52">
      <c r="A52" s="12" t="inlineStr">
        <is>
          <t>LOB TOTALS</t>
        </is>
      </c>
      <c r="B52" s="12" t="n"/>
      <c r="C52" s="12" t="n"/>
      <c r="D52" s="12" t="n"/>
      <c r="E52" s="13">
        <f>SUMIF(A12:A51,"&lt;&gt;",E12:E51)</f>
        <v/>
      </c>
      <c r="F52" s="12" t="n"/>
      <c r="G52" s="12" t="n"/>
      <c r="H52" s="13">
        <f>SUMIF(A12:A51,"&lt;&gt;",H12:H51)</f>
        <v/>
      </c>
      <c r="I52" s="13">
        <f>SUMIF(A12:A51,"&lt;&gt;",I12:I51)</f>
        <v/>
      </c>
      <c r="J52" s="13">
        <f>SUMIF(A12:A51,"&lt;&gt;",J12:J51)</f>
        <v/>
      </c>
      <c r="K52" s="13">
        <f>SUMIF(A12:A51,"&lt;&gt;",K12:K51)</f>
        <v/>
      </c>
      <c r="L52" s="13">
        <f>SUMIF(A12:A51,"&lt;&gt;",L12:L51)</f>
        <v/>
      </c>
      <c r="M52" s="14">
        <f>IF(OR(E52="",E52=0),"",H52/E52)</f>
        <v/>
      </c>
      <c r="N52" s="13">
        <f>SUMIF(A12:A51,"&lt;&gt;",N12:N51)</f>
        <v/>
      </c>
      <c r="O52" s="12" t="n"/>
      <c r="P52" s="12" t="n"/>
    </row>
    <row r="54">
      <c r="A54" s="29" t="inlineStr">
        <is>
          <t>Legend: Yellow = input  |  Green = formula  |  Grey = totals  |  Blue = LOB KPIs</t>
        </is>
      </c>
    </row>
  </sheetData>
  <autoFilter ref="A11:P51"/>
  <mergeCells count="4">
    <mergeCell ref="A6:P6"/>
    <mergeCell ref="A10:P10"/>
    <mergeCell ref="A1:P1"/>
    <mergeCell ref="A2:P2"/>
  </mergeCells>
  <conditionalFormatting sqref="M12:M51">
    <cfRule type="cellIs" priority="1" operator="greaterThan" dxfId="0">
      <formula>0.9</formula>
    </cfRule>
  </conditionalFormatting>
  <conditionalFormatting sqref="N12:N51">
    <cfRule type="cellIs" priority="2" operator="greaterThan" dxfId="0">
      <formula>0</formula>
    </cfRule>
  </conditionalFormatting>
  <conditionalFormatting sqref="L7">
    <cfRule type="cellIs" priority="3" operator="greaterThan" dxfId="0">
      <formula>0.9</formula>
    </cfRule>
  </conditionalFormatting>
  <conditionalFormatting sqref="N7">
    <cfRule type="cellIs" priority="4" operator="greaterThan" dxfId="0">
      <formula>0</formula>
    </cfRule>
  </conditionalFormatting>
  <dataValidations count="3">
    <dataValidation sqref="C12:C51" showDropDown="0" showInputMessage="0" showErrorMessage="0" allowBlank="1" type="list">
      <formula1>"Contractor,Permanent FTEs,Tooling,Infrastructure,Professional services,Travel,Other"</formula1>
    </dataValidation>
    <dataValidation sqref="O12:O51" showDropDown="0" showInputMessage="0" showErrorMessage="0" allowBlank="1" type="list">
      <formula1>"On track,At risk,Overspent,Not started,Closed"</formula1>
    </dataValidation>
    <dataValidation sqref="F4" showDropDown="0" showInputMessage="0" showErrorMessage="0" allowBlank="1" type="list">
      <formula1>"FY25,FY26,FY27,FY26 H1,FY26 H2,FY26 Q1,FY26 Q2,FY26 Q3,FY26 Q4"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85" customWidth="1" min="2" max="2"/>
  </cols>
  <sheetData>
    <row r="1">
      <c r="A1" s="1" t="inlineStr">
        <is>
          <t>Definitions</t>
        </is>
      </c>
    </row>
    <row r="3">
      <c r="A3" s="30" t="inlineStr">
        <is>
          <t>Field</t>
        </is>
      </c>
      <c r="B3" s="30" t="inlineStr">
        <is>
          <t>Meaning</t>
        </is>
      </c>
    </row>
    <row r="4">
      <c r="A4" s="2" t="inlineStr">
        <is>
          <t>LOB</t>
        </is>
      </c>
      <c r="B4" s="3" t="inlineStr">
        <is>
          <t>Line of Business — each has its own sheet with the same consolidated view.</t>
        </is>
      </c>
    </row>
    <row r="5">
      <c r="A5" s="2" t="inlineStr">
        <is>
          <t>Project / Workstream</t>
        </is>
      </c>
      <c r="B5" s="3" t="inlineStr">
        <is>
          <t>Named initiative or project within the LOB.</t>
        </is>
      </c>
    </row>
    <row r="6">
      <c r="A6" s="2" t="inlineStr">
        <is>
          <t>Initiative / Cost centre</t>
        </is>
      </c>
      <c r="B6" s="3" t="inlineStr">
        <is>
          <t>Optional finer split (e.g. programme name or cost centre).</t>
        </is>
      </c>
    </row>
    <row r="7">
      <c r="A7" s="2" t="inlineStr">
        <is>
          <t>Cost category</t>
        </is>
      </c>
      <c r="B7" s="3" t="inlineStr">
        <is>
          <t>Contractor, Permanent FTEs, Tooling, Infrastructure, Professional services, Travel, Other.</t>
        </is>
      </c>
    </row>
    <row r="8">
      <c r="A8" s="2" t="inlineStr">
        <is>
          <t>Managed by (HOE)</t>
        </is>
      </c>
      <c r="B8" s="3" t="inlineStr">
        <is>
          <t>Head of Engineering accountable for the spend.</t>
        </is>
      </c>
    </row>
    <row r="9">
      <c r="A9" s="2" t="inlineStr">
        <is>
          <t>Total Budget Approved</t>
        </is>
      </c>
      <c r="B9" s="3" t="inlineStr">
        <is>
          <t>Full amount formally approved for the period.</t>
        </is>
      </c>
    </row>
    <row r="10">
      <c r="A10" s="2" t="inlineStr">
        <is>
          <t>Approved By</t>
        </is>
      </c>
      <c r="B10" s="3" t="inlineStr">
        <is>
          <t>Person or forum that approved the budget.</t>
        </is>
      </c>
    </row>
    <row r="11">
      <c r="A11" s="2" t="inlineStr">
        <is>
          <t>Approval Date</t>
        </is>
      </c>
      <c r="B11" s="3" t="inlineStr">
        <is>
          <t>Date of approval.</t>
        </is>
      </c>
    </row>
    <row r="12">
      <c r="A12" s="2" t="inlineStr">
        <is>
          <t>Spent (Actual)</t>
        </is>
      </c>
      <c r="B12" s="3" t="inlineStr">
        <is>
          <t>Incurred / booked to date against the approved amount.</t>
        </is>
      </c>
    </row>
    <row r="13">
      <c r="A13" s="2" t="inlineStr">
        <is>
          <t>Unallocated</t>
        </is>
      </c>
      <c r="B13" s="3" t="inlineStr">
        <is>
          <t>Approved amount not yet assigned to a line, vendor, or work package.</t>
        </is>
      </c>
    </row>
    <row r="14">
      <c r="A14" s="2" t="inlineStr">
        <is>
          <t>Forecasted Spend</t>
        </is>
      </c>
      <c r="B14" s="3" t="inlineStr">
        <is>
          <t>Expected total spend to end of period.</t>
        </is>
      </c>
    </row>
    <row r="15">
      <c r="A15" s="2" t="inlineStr">
        <is>
          <t>Allocated (calc)</t>
        </is>
      </c>
      <c r="B15" s="3" t="inlineStr">
        <is>
          <t>Approved − Unallocated.</t>
        </is>
      </c>
    </row>
    <row r="16">
      <c r="A16" s="2" t="inlineStr">
        <is>
          <t>Remaining (calc)</t>
        </is>
      </c>
      <c r="B16" s="3" t="inlineStr">
        <is>
          <t>Approved − Spent.</t>
        </is>
      </c>
    </row>
    <row r="17">
      <c r="A17" s="2" t="inlineStr">
        <is>
          <t>% Spent (calc)</t>
        </is>
      </c>
      <c r="B17" s="3" t="inlineStr">
        <is>
          <t>Spent ÷ Approved (red if &gt; 90%).</t>
        </is>
      </c>
    </row>
    <row r="18">
      <c r="A18" s="2" t="inlineStr">
        <is>
          <t>Forecast vs Approved (calc)</t>
        </is>
      </c>
      <c r="B18" s="3" t="inlineStr">
        <is>
          <t>Forecast − Approved (red if overspend forecast).</t>
        </is>
      </c>
    </row>
    <row r="19">
      <c r="A19" s="2" t="inlineStr">
        <is>
          <t>Status</t>
        </is>
      </c>
      <c r="B19" s="3" t="inlineStr">
        <is>
          <t>On track / At risk / Overspent / Not started / Closed.</t>
        </is>
      </c>
    </row>
    <row r="20">
      <c r="A20" s="2" t="inlineStr">
        <is>
          <t>Cross-LOB Summary</t>
        </is>
      </c>
      <c r="B20" s="3" t="inlineStr">
        <is>
          <t>One row per LOB; formulas read each LOB sheet KPI strip.</t>
        </is>
      </c>
    </row>
    <row r="21">
      <c r="A21" s="2" t="inlineStr">
        <is>
          <t>By HOE</t>
        </is>
      </c>
      <c r="B21" s="3" t="inlineStr">
        <is>
          <t>Enter HOE names; SUMIF across all LOB project rows.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2026-10-06T21:53:01Z</dcterms:created>
  <dcterms:modified xsi:type="dcterms:W3CDTF">2026-10-06T21:53:02Z</dcterms:modified>
</cp:coreProperties>
</file>